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B3174100-E14B-4C4A-9497-6238F18E9BF0}" xr6:coauthVersionLast="45" xr6:coauthVersionMax="45" xr10:uidLastSave="{00000000-0000-0000-0000-000000000000}"/>
  <bookViews>
    <workbookView xWindow="-108" yWindow="-108" windowWidth="23256" windowHeight="12576" tabRatio="839" activeTab="7" xr2:uid="{00000000-000D-0000-FFFF-FFFF00000000}"/>
  </bookViews>
  <sheets>
    <sheet name="EDT_Personnel" sheetId="1" r:id="rId1"/>
    <sheet name="Chambre_EDT" sheetId="6" r:id="rId2"/>
    <sheet name="Patient" sheetId="5" r:id="rId3"/>
    <sheet name="Personnel" sheetId="3" r:id="rId4"/>
    <sheet name="Consultation" sheetId="13" r:id="rId5"/>
    <sheet name="Service" sheetId="14" r:id="rId6"/>
    <sheet name="Etablissement" sheetId="15" r:id="rId7"/>
    <sheet name="Materiel" sheetId="8" r:id="rId8"/>
    <sheet name="Medicament" sheetId="9" r:id="rId9"/>
    <sheet name="Prescription" sheetId="19" r:id="rId10"/>
    <sheet name="Fournisseur" sheetId="11" r:id="rId11"/>
    <sheet name="Mutuelle" sheetId="12" r:id="rId12"/>
    <sheet name="Statistiques" sheetId="17" r:id="rId13"/>
  </sheets>
  <functionGroups builtInGroupCount="19"/>
  <definedNames>
    <definedName name="_xlnm._FilterDatabase" localSheetId="1" hidden="1">Chambre_EDT!$A$3:$CA$666</definedName>
    <definedName name="_xlnm._FilterDatabase" localSheetId="0" hidden="1">EDT_Personnel!$A$3:$BY$218</definedName>
    <definedName name="Chambre">Chambre_EDT!$A$3:$E$666</definedName>
    <definedName name="Date">EDT_Personnel!$D$2:$BY$2</definedName>
    <definedName name="Date2">Chambre_EDT!$F$2:$CA$2</definedName>
    <definedName name="DonnéesExternes_1" localSheetId="4" hidden="1">'Consultation'!$A$1:$G$190</definedName>
    <definedName name="DonnéesExternes_1" localSheetId="6" hidden="1">Etablissement!$A$1:$D$4</definedName>
    <definedName name="DonnéesExternes_1" localSheetId="10" hidden="1">Fournisseur!$A$1:$B$16</definedName>
    <definedName name="DonnéesExternes_1" localSheetId="7" hidden="1">Materiel!$A$1:$G$130</definedName>
    <definedName name="DonnéesExternes_1" localSheetId="8" hidden="1">Medicament!$A$1:$F$25</definedName>
    <definedName name="DonnéesExternes_1" localSheetId="11" hidden="1">Mutuelle!$A$1:$B$275</definedName>
    <definedName name="DonnéesExternes_1" localSheetId="2" hidden="1">Patient!$A$1:$P$334</definedName>
    <definedName name="DonnéesExternes_1" localSheetId="3" hidden="1">Personnel!$A$1:$N$287</definedName>
    <definedName name="DonnéesExternes_1" localSheetId="5" hidden="1">Service!$A$1:$D$46</definedName>
    <definedName name="Personnel">EDT_Personnel!$A$1:$C$289</definedName>
    <definedName name="prescription">Prescription!$A$2:$D$3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9" i="8" l="1"/>
  <c r="H128" i="8"/>
  <c r="H190" i="13" l="1"/>
  <c r="I190" i="13"/>
  <c r="J190" i="13"/>
  <c r="K190" i="13"/>
  <c r="G25" i="9" l="1"/>
  <c r="G24" i="9"/>
  <c r="H127" i="8"/>
  <c r="C286" i="1"/>
  <c r="B286" i="1"/>
  <c r="A286" i="1"/>
  <c r="C285" i="1"/>
  <c r="B285" i="1"/>
  <c r="A285" i="1"/>
  <c r="C284" i="1"/>
  <c r="B284" i="1"/>
  <c r="A284" i="1"/>
  <c r="C283" i="1"/>
  <c r="B283" i="1"/>
  <c r="A283" i="1"/>
  <c r="C282" i="1"/>
  <c r="B282" i="1"/>
  <c r="A282" i="1"/>
  <c r="C281" i="1"/>
  <c r="B281" i="1"/>
  <c r="A281" i="1"/>
  <c r="C280" i="1"/>
  <c r="B280" i="1"/>
  <c r="A280" i="1"/>
  <c r="C279" i="1"/>
  <c r="B279" i="1"/>
  <c r="A279" i="1"/>
  <c r="C278" i="1"/>
  <c r="B278" i="1"/>
  <c r="A278" i="1"/>
  <c r="C277" i="1"/>
  <c r="B277" i="1"/>
  <c r="A277" i="1"/>
  <c r="C276" i="1"/>
  <c r="B276" i="1"/>
  <c r="A276" i="1"/>
  <c r="C275" i="1"/>
  <c r="B275" i="1"/>
  <c r="A275" i="1"/>
  <c r="C274" i="1"/>
  <c r="B274" i="1"/>
  <c r="A274" i="1"/>
  <c r="C273" i="1"/>
  <c r="B273" i="1"/>
  <c r="A273" i="1"/>
  <c r="C272" i="1"/>
  <c r="B272" i="1"/>
  <c r="A272" i="1"/>
  <c r="C271" i="1"/>
  <c r="B271" i="1"/>
  <c r="A271" i="1"/>
  <c r="C270" i="1"/>
  <c r="B270" i="1"/>
  <c r="A270" i="1"/>
  <c r="C269" i="1"/>
  <c r="B269" i="1"/>
  <c r="A269" i="1"/>
  <c r="C268" i="1"/>
  <c r="B268" i="1"/>
  <c r="A268" i="1"/>
  <c r="C267" i="1"/>
  <c r="B267" i="1"/>
  <c r="A267" i="1"/>
  <c r="C266" i="1"/>
  <c r="B266" i="1"/>
  <c r="A266" i="1"/>
  <c r="C265" i="1"/>
  <c r="B265" i="1"/>
  <c r="A265" i="1"/>
  <c r="C264" i="1"/>
  <c r="B264" i="1"/>
  <c r="A264" i="1"/>
  <c r="C263" i="1"/>
  <c r="B263" i="1"/>
  <c r="A263" i="1"/>
  <c r="C262" i="1"/>
  <c r="B262" i="1"/>
  <c r="A262" i="1"/>
  <c r="C261" i="1"/>
  <c r="B261" i="1"/>
  <c r="A261" i="1"/>
  <c r="C260" i="1"/>
  <c r="B260" i="1"/>
  <c r="A260" i="1"/>
  <c r="C259" i="1"/>
  <c r="B259" i="1"/>
  <c r="A259" i="1"/>
  <c r="C258" i="1"/>
  <c r="B258" i="1"/>
  <c r="A258" i="1"/>
  <c r="C257" i="1"/>
  <c r="B257" i="1"/>
  <c r="A257" i="1"/>
  <c r="C256" i="1"/>
  <c r="B256" i="1"/>
  <c r="A256" i="1"/>
  <c r="C255" i="1"/>
  <c r="B255" i="1"/>
  <c r="A255" i="1"/>
  <c r="C254" i="1"/>
  <c r="B254" i="1"/>
  <c r="A254" i="1"/>
  <c r="C253" i="1"/>
  <c r="B253" i="1"/>
  <c r="A253" i="1"/>
  <c r="C252" i="1"/>
  <c r="B252" i="1"/>
  <c r="A252" i="1"/>
  <c r="C251" i="1"/>
  <c r="B251" i="1"/>
  <c r="A251" i="1"/>
  <c r="C250" i="1"/>
  <c r="B250" i="1"/>
  <c r="A250" i="1"/>
  <c r="C249" i="1"/>
  <c r="B249" i="1"/>
  <c r="A249" i="1"/>
  <c r="C248" i="1"/>
  <c r="B248" i="1"/>
  <c r="A248" i="1"/>
  <c r="C247" i="1"/>
  <c r="B247" i="1"/>
  <c r="A247" i="1"/>
  <c r="C246" i="1"/>
  <c r="B246" i="1"/>
  <c r="A246" i="1"/>
  <c r="C245" i="1"/>
  <c r="B245" i="1"/>
  <c r="A245" i="1"/>
  <c r="C244" i="1"/>
  <c r="B244" i="1"/>
  <c r="A244" i="1"/>
  <c r="C243" i="1"/>
  <c r="B243" i="1"/>
  <c r="A243" i="1"/>
  <c r="C242" i="1"/>
  <c r="B242" i="1"/>
  <c r="A242" i="1"/>
  <c r="C241" i="1"/>
  <c r="B241" i="1"/>
  <c r="A241" i="1"/>
  <c r="C240" i="1"/>
  <c r="B240" i="1"/>
  <c r="A240" i="1"/>
  <c r="C239" i="1"/>
  <c r="B239" i="1"/>
  <c r="A239" i="1"/>
  <c r="C238" i="1"/>
  <c r="B238" i="1"/>
  <c r="A238" i="1"/>
  <c r="C237" i="1"/>
  <c r="B237" i="1"/>
  <c r="A237" i="1"/>
  <c r="C236" i="1"/>
  <c r="B236" i="1"/>
  <c r="A236" i="1"/>
  <c r="C235" i="1"/>
  <c r="B235" i="1"/>
  <c r="A235" i="1"/>
  <c r="C234" i="1"/>
  <c r="B234" i="1"/>
  <c r="A234" i="1"/>
  <c r="C233" i="1"/>
  <c r="B233" i="1"/>
  <c r="A233" i="1"/>
  <c r="C232" i="1"/>
  <c r="B232" i="1"/>
  <c r="A232" i="1"/>
  <c r="C231" i="1"/>
  <c r="B231" i="1"/>
  <c r="A231" i="1"/>
  <c r="C230" i="1"/>
  <c r="B230" i="1"/>
  <c r="A230" i="1"/>
  <c r="C229" i="1"/>
  <c r="B229" i="1"/>
  <c r="A229" i="1"/>
  <c r="C228" i="1"/>
  <c r="B228" i="1"/>
  <c r="A228" i="1"/>
  <c r="C227" i="1"/>
  <c r="B227" i="1"/>
  <c r="A227" i="1"/>
  <c r="C226" i="1"/>
  <c r="B226" i="1"/>
  <c r="A226" i="1"/>
  <c r="C225" i="1"/>
  <c r="B225" i="1"/>
  <c r="A225" i="1"/>
  <c r="C224" i="1"/>
  <c r="B224" i="1"/>
  <c r="A224" i="1"/>
  <c r="C223" i="1"/>
  <c r="B223" i="1"/>
  <c r="A223" i="1"/>
  <c r="C222" i="1"/>
  <c r="B222" i="1"/>
  <c r="A222" i="1"/>
  <c r="C221" i="1"/>
  <c r="B221" i="1"/>
  <c r="A221" i="1"/>
  <c r="C220" i="1"/>
  <c r="B220" i="1"/>
  <c r="A220" i="1"/>
  <c r="C219" i="1"/>
  <c r="B219" i="1"/>
  <c r="A219" i="1"/>
  <c r="C218" i="1"/>
  <c r="B218" i="1"/>
  <c r="A218" i="1"/>
  <c r="C217" i="1"/>
  <c r="B217" i="1"/>
  <c r="A217" i="1"/>
  <c r="C216" i="1"/>
  <c r="B216" i="1"/>
  <c r="A216" i="1"/>
  <c r="Q334" i="5" l="1"/>
  <c r="G23" i="9" l="1"/>
  <c r="Q333" i="5" l="1"/>
  <c r="H189" i="13" l="1"/>
  <c r="I189" i="13"/>
  <c r="J189" i="13"/>
  <c r="K189" i="13"/>
  <c r="H188" i="13"/>
  <c r="I188" i="13"/>
  <c r="J188" i="13"/>
  <c r="K188" i="13"/>
  <c r="H187" i="13"/>
  <c r="I187" i="13"/>
  <c r="J187" i="13"/>
  <c r="K187" i="13"/>
  <c r="H186" i="13"/>
  <c r="I186" i="13"/>
  <c r="J186" i="13"/>
  <c r="K186" i="13"/>
  <c r="H185" i="13"/>
  <c r="I185" i="13"/>
  <c r="J185" i="13"/>
  <c r="K185" i="13"/>
  <c r="H184" i="13"/>
  <c r="I184" i="13"/>
  <c r="J184" i="13"/>
  <c r="K184" i="13"/>
  <c r="H183" i="13"/>
  <c r="I183" i="13"/>
  <c r="J183" i="13"/>
  <c r="K183" i="13"/>
  <c r="H182" i="13"/>
  <c r="I182" i="13"/>
  <c r="J182" i="13"/>
  <c r="K182" i="13"/>
  <c r="H181" i="13"/>
  <c r="I181" i="13"/>
  <c r="J181" i="13"/>
  <c r="K181" i="13"/>
  <c r="K2" i="13"/>
  <c r="K3" i="13"/>
  <c r="K4" i="13"/>
  <c r="K5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H180" i="13"/>
  <c r="I180" i="13"/>
  <c r="J180" i="13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E2" i="14" l="1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J2" i="13" l="1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I2" i="13" l="1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Q11" i="5"/>
  <c r="Q2" i="5" l="1"/>
  <c r="Q3" i="5"/>
  <c r="Q4" i="5"/>
  <c r="Q5" i="5"/>
  <c r="Q6" i="5"/>
  <c r="Q7" i="5"/>
  <c r="Q8" i="5"/>
  <c r="Q9" i="5"/>
  <c r="Q10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E2" i="9"/>
  <c r="G2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F2" i="6" l="1"/>
  <c r="F1" i="6" s="1"/>
  <c r="B215" i="1"/>
  <c r="A215" i="1"/>
  <c r="B214" i="1"/>
  <c r="A214" i="1"/>
  <c r="B213" i="1"/>
  <c r="A213" i="1"/>
  <c r="B212" i="1"/>
  <c r="A212" i="1"/>
  <c r="B211" i="1"/>
  <c r="A211" i="1"/>
  <c r="B210" i="1"/>
  <c r="A210" i="1"/>
  <c r="B209" i="1"/>
  <c r="A209" i="1"/>
  <c r="B208" i="1"/>
  <c r="A208" i="1"/>
  <c r="B207" i="1"/>
  <c r="A207" i="1"/>
  <c r="B206" i="1"/>
  <c r="A206" i="1"/>
  <c r="B205" i="1"/>
  <c r="A205" i="1"/>
  <c r="B204" i="1"/>
  <c r="A204" i="1"/>
  <c r="B203" i="1"/>
  <c r="A203" i="1"/>
  <c r="B202" i="1"/>
  <c r="A202" i="1"/>
  <c r="B201" i="1"/>
  <c r="A201" i="1"/>
  <c r="B200" i="1"/>
  <c r="A200" i="1"/>
  <c r="B199" i="1"/>
  <c r="A199" i="1"/>
  <c r="B198" i="1"/>
  <c r="A198" i="1"/>
  <c r="B197" i="1"/>
  <c r="A197" i="1"/>
  <c r="B196" i="1"/>
  <c r="A196" i="1"/>
  <c r="B195" i="1"/>
  <c r="A195" i="1"/>
  <c r="B194" i="1"/>
  <c r="A194" i="1"/>
  <c r="B193" i="1"/>
  <c r="A193" i="1"/>
  <c r="B192" i="1"/>
  <c r="A192" i="1"/>
  <c r="B191" i="1"/>
  <c r="A191" i="1"/>
  <c r="B190" i="1"/>
  <c r="A190" i="1"/>
  <c r="B189" i="1"/>
  <c r="A189" i="1"/>
  <c r="B188" i="1"/>
  <c r="A188" i="1"/>
  <c r="B187" i="1"/>
  <c r="A187" i="1"/>
  <c r="B186" i="1"/>
  <c r="A186" i="1"/>
  <c r="B185" i="1"/>
  <c r="A185" i="1"/>
  <c r="B184" i="1"/>
  <c r="A184" i="1"/>
  <c r="B183" i="1"/>
  <c r="A183" i="1"/>
  <c r="B182" i="1"/>
  <c r="A182" i="1"/>
  <c r="B181" i="1"/>
  <c r="A181" i="1"/>
  <c r="B180" i="1"/>
  <c r="A180" i="1"/>
  <c r="B179" i="1"/>
  <c r="A179" i="1"/>
  <c r="B178" i="1"/>
  <c r="A178" i="1"/>
  <c r="B177" i="1"/>
  <c r="A177" i="1"/>
  <c r="B176" i="1"/>
  <c r="A176" i="1"/>
  <c r="B175" i="1"/>
  <c r="A175" i="1"/>
  <c r="B174" i="1"/>
  <c r="A174" i="1"/>
  <c r="B173" i="1"/>
  <c r="A173" i="1"/>
  <c r="B172" i="1"/>
  <c r="A172" i="1"/>
  <c r="B171" i="1"/>
  <c r="A171" i="1"/>
  <c r="B170" i="1"/>
  <c r="A170" i="1"/>
  <c r="B169" i="1"/>
  <c r="A169" i="1"/>
  <c r="B168" i="1"/>
  <c r="A168" i="1"/>
  <c r="B167" i="1"/>
  <c r="A167" i="1"/>
  <c r="B166" i="1"/>
  <c r="A166" i="1"/>
  <c r="B165" i="1"/>
  <c r="A165" i="1"/>
  <c r="B164" i="1"/>
  <c r="A164" i="1"/>
  <c r="B163" i="1"/>
  <c r="A163" i="1"/>
  <c r="B162" i="1"/>
  <c r="A162" i="1"/>
  <c r="B161" i="1"/>
  <c r="A161" i="1"/>
  <c r="B160" i="1"/>
  <c r="A160" i="1"/>
  <c r="B159" i="1"/>
  <c r="A159" i="1"/>
  <c r="B158" i="1"/>
  <c r="A158" i="1"/>
  <c r="B157" i="1"/>
  <c r="A157" i="1"/>
  <c r="B156" i="1"/>
  <c r="A156" i="1"/>
  <c r="B155" i="1"/>
  <c r="A155" i="1"/>
  <c r="B154" i="1"/>
  <c r="A154" i="1"/>
  <c r="B153" i="1"/>
  <c r="A153" i="1"/>
  <c r="B152" i="1"/>
  <c r="A152" i="1"/>
  <c r="B151" i="1"/>
  <c r="A151" i="1"/>
  <c r="B150" i="1"/>
  <c r="A150" i="1"/>
  <c r="B149" i="1"/>
  <c r="A149" i="1"/>
  <c r="B148" i="1"/>
  <c r="A148" i="1"/>
  <c r="B147" i="1"/>
  <c r="A147" i="1"/>
  <c r="B146" i="1"/>
  <c r="A146" i="1"/>
  <c r="B145" i="1"/>
  <c r="A145" i="1"/>
  <c r="B144" i="1"/>
  <c r="A144" i="1"/>
  <c r="B143" i="1"/>
  <c r="A143" i="1"/>
  <c r="B142" i="1"/>
  <c r="A142" i="1"/>
  <c r="B141" i="1"/>
  <c r="A141" i="1"/>
  <c r="B140" i="1"/>
  <c r="A140" i="1"/>
  <c r="B139" i="1"/>
  <c r="A139" i="1"/>
  <c r="B138" i="1"/>
  <c r="A138" i="1"/>
  <c r="B137" i="1"/>
  <c r="A137" i="1"/>
  <c r="B136" i="1"/>
  <c r="A136" i="1"/>
  <c r="B135" i="1"/>
  <c r="A135" i="1"/>
  <c r="B134" i="1"/>
  <c r="A134" i="1"/>
  <c r="B133" i="1"/>
  <c r="A133" i="1"/>
  <c r="B132" i="1"/>
  <c r="A132" i="1"/>
  <c r="B131" i="1"/>
  <c r="A131" i="1"/>
  <c r="B130" i="1"/>
  <c r="A130" i="1"/>
  <c r="B129" i="1"/>
  <c r="A129" i="1"/>
  <c r="B128" i="1"/>
  <c r="A128" i="1"/>
  <c r="B127" i="1"/>
  <c r="A127" i="1"/>
  <c r="B126" i="1"/>
  <c r="A126" i="1"/>
  <c r="B125" i="1"/>
  <c r="A125" i="1"/>
  <c r="B124" i="1"/>
  <c r="A124" i="1"/>
  <c r="B123" i="1"/>
  <c r="A123" i="1"/>
  <c r="B122" i="1"/>
  <c r="A122" i="1"/>
  <c r="B121" i="1"/>
  <c r="A121" i="1"/>
  <c r="B120" i="1"/>
  <c r="A120" i="1"/>
  <c r="B119" i="1"/>
  <c r="A119" i="1"/>
  <c r="B118" i="1"/>
  <c r="A118" i="1"/>
  <c r="B117" i="1"/>
  <c r="A117" i="1"/>
  <c r="B116" i="1"/>
  <c r="A116" i="1"/>
  <c r="B115" i="1"/>
  <c r="A115" i="1"/>
  <c r="B114" i="1"/>
  <c r="A114" i="1"/>
  <c r="B113" i="1"/>
  <c r="A113" i="1"/>
  <c r="B112" i="1"/>
  <c r="A112" i="1"/>
  <c r="B111" i="1"/>
  <c r="A111" i="1"/>
  <c r="B110" i="1"/>
  <c r="A110" i="1"/>
  <c r="B109" i="1"/>
  <c r="A109" i="1"/>
  <c r="B108" i="1"/>
  <c r="A108" i="1"/>
  <c r="B107" i="1"/>
  <c r="A107" i="1"/>
  <c r="B106" i="1"/>
  <c r="A106" i="1"/>
  <c r="B105" i="1"/>
  <c r="A105" i="1"/>
  <c r="B104" i="1"/>
  <c r="A104" i="1"/>
  <c r="B103" i="1"/>
  <c r="A103" i="1"/>
  <c r="B102" i="1"/>
  <c r="A102" i="1"/>
  <c r="B101" i="1"/>
  <c r="A101" i="1"/>
  <c r="B100" i="1"/>
  <c r="A100" i="1"/>
  <c r="B99" i="1"/>
  <c r="A99" i="1"/>
  <c r="B98" i="1"/>
  <c r="A98" i="1"/>
  <c r="B97" i="1"/>
  <c r="A97" i="1"/>
  <c r="B96" i="1"/>
  <c r="A96" i="1"/>
  <c r="B95" i="1"/>
  <c r="A95" i="1"/>
  <c r="B94" i="1"/>
  <c r="A94" i="1"/>
  <c r="B93" i="1"/>
  <c r="A93" i="1"/>
  <c r="B92" i="1"/>
  <c r="A92" i="1"/>
  <c r="B91" i="1"/>
  <c r="A91" i="1"/>
  <c r="B90" i="1"/>
  <c r="A90" i="1"/>
  <c r="B89" i="1"/>
  <c r="A89" i="1"/>
  <c r="B88" i="1"/>
  <c r="A88" i="1"/>
  <c r="B87" i="1"/>
  <c r="A87" i="1"/>
  <c r="B86" i="1"/>
  <c r="A86" i="1"/>
  <c r="B85" i="1"/>
  <c r="A85" i="1"/>
  <c r="B84" i="1"/>
  <c r="A84" i="1"/>
  <c r="B83" i="1"/>
  <c r="A83" i="1"/>
  <c r="B82" i="1"/>
  <c r="A82" i="1"/>
  <c r="B81" i="1"/>
  <c r="A81" i="1"/>
  <c r="B80" i="1"/>
  <c r="A80" i="1"/>
  <c r="B79" i="1"/>
  <c r="A79" i="1"/>
  <c r="B78" i="1"/>
  <c r="A78" i="1"/>
  <c r="B77" i="1"/>
  <c r="A77" i="1"/>
  <c r="B76" i="1"/>
  <c r="A76" i="1"/>
  <c r="B75" i="1"/>
  <c r="A75" i="1"/>
  <c r="B74" i="1"/>
  <c r="A74" i="1"/>
  <c r="B73" i="1"/>
  <c r="A73" i="1"/>
  <c r="B72" i="1"/>
  <c r="A72" i="1"/>
  <c r="B71" i="1"/>
  <c r="A71" i="1"/>
  <c r="B70" i="1"/>
  <c r="A70" i="1"/>
  <c r="B69" i="1"/>
  <c r="A69" i="1"/>
  <c r="B68" i="1"/>
  <c r="A68" i="1"/>
  <c r="B67" i="1"/>
  <c r="A67" i="1"/>
  <c r="B66" i="1"/>
  <c r="A66" i="1"/>
  <c r="B65" i="1"/>
  <c r="A65" i="1"/>
  <c r="B64" i="1"/>
  <c r="A64" i="1"/>
  <c r="B63" i="1"/>
  <c r="A63" i="1"/>
  <c r="B62" i="1"/>
  <c r="A62" i="1"/>
  <c r="B61" i="1"/>
  <c r="A61" i="1"/>
  <c r="B60" i="1"/>
  <c r="A60" i="1"/>
  <c r="B59" i="1"/>
  <c r="A59" i="1"/>
  <c r="B58" i="1"/>
  <c r="A58" i="1"/>
  <c r="B57" i="1"/>
  <c r="A57" i="1"/>
  <c r="B56" i="1"/>
  <c r="A56" i="1"/>
  <c r="B55" i="1"/>
  <c r="A55" i="1"/>
  <c r="B54" i="1"/>
  <c r="A54" i="1"/>
  <c r="B53" i="1"/>
  <c r="A53" i="1"/>
  <c r="B52" i="1"/>
  <c r="A52" i="1"/>
  <c r="B51" i="1"/>
  <c r="A51" i="1"/>
  <c r="B50" i="1"/>
  <c r="A50" i="1"/>
  <c r="B49" i="1"/>
  <c r="A49" i="1"/>
  <c r="B48" i="1"/>
  <c r="A48" i="1"/>
  <c r="B47" i="1"/>
  <c r="A47" i="1"/>
  <c r="B46" i="1"/>
  <c r="A46" i="1"/>
  <c r="B45" i="1"/>
  <c r="A45" i="1"/>
  <c r="B44" i="1"/>
  <c r="A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/>
  <c r="B16" i="1"/>
  <c r="A16" i="1"/>
  <c r="B15" i="1"/>
  <c r="A15" i="1"/>
  <c r="B14" i="1"/>
  <c r="A14" i="1"/>
  <c r="B13" i="1"/>
  <c r="A13" i="1"/>
  <c r="B12" i="1"/>
  <c r="A12" i="1"/>
  <c r="B11" i="1"/>
  <c r="A11" i="1"/>
  <c r="B10" i="1"/>
  <c r="A10" i="1"/>
  <c r="B9" i="1"/>
  <c r="A9" i="1"/>
  <c r="B8" i="1"/>
  <c r="A8" i="1"/>
  <c r="B7" i="1"/>
  <c r="A7" i="1"/>
  <c r="B6" i="1"/>
  <c r="A6" i="1"/>
  <c r="B5" i="1"/>
  <c r="A5" i="1"/>
  <c r="B4" i="1"/>
  <c r="A4" i="1"/>
  <c r="H2" i="6" l="1"/>
  <c r="H1" i="6" s="1"/>
  <c r="J2" i="6"/>
  <c r="D2" i="1"/>
  <c r="D1" i="1" s="1"/>
  <c r="J1" i="6" l="1"/>
  <c r="L2" i="6"/>
  <c r="F2" i="1"/>
  <c r="N2" i="6" l="1"/>
  <c r="L1" i="6"/>
  <c r="H2" i="1"/>
  <c r="J2" i="1" s="1"/>
  <c r="L2" i="1" s="1"/>
  <c r="N2" i="1" s="1"/>
  <c r="P2" i="1" s="1"/>
  <c r="F1" i="1"/>
  <c r="R2" i="1" l="1"/>
  <c r="P1" i="1"/>
  <c r="N1" i="6"/>
  <c r="P2" i="6"/>
  <c r="J1" i="1"/>
  <c r="H1" i="1"/>
  <c r="L1" i="1"/>
  <c r="T2" i="1" l="1"/>
  <c r="R1" i="1"/>
  <c r="P1" i="6"/>
  <c r="R2" i="6"/>
  <c r="N1" i="1"/>
  <c r="V2" i="1" l="1"/>
  <c r="T1" i="1"/>
  <c r="T2" i="6"/>
  <c r="R1" i="6"/>
  <c r="X2" i="1" l="1"/>
  <c r="V1" i="1"/>
  <c r="V2" i="6"/>
  <c r="T1" i="6"/>
  <c r="Z2" i="1" l="1"/>
  <c r="X1" i="1"/>
  <c r="V1" i="6"/>
  <c r="X2" i="6"/>
  <c r="AB2" i="1" l="1"/>
  <c r="Z1" i="1"/>
  <c r="X1" i="6"/>
  <c r="Z2" i="6"/>
  <c r="AD2" i="1" l="1"/>
  <c r="AB1" i="1"/>
  <c r="AB2" i="6"/>
  <c r="Z1" i="6"/>
  <c r="AF2" i="1" l="1"/>
  <c r="AD1" i="1"/>
  <c r="AD2" i="6"/>
  <c r="AB1" i="6"/>
  <c r="AH2" i="1" l="1"/>
  <c r="AF1" i="1"/>
  <c r="AF2" i="6"/>
  <c r="AD1" i="6"/>
  <c r="AJ2" i="1" l="1"/>
  <c r="AH1" i="1"/>
  <c r="AF1" i="6"/>
  <c r="AH2" i="6"/>
  <c r="AJ1" i="1" l="1"/>
  <c r="AL2" i="1"/>
  <c r="AH1" i="6"/>
  <c r="AJ2" i="6"/>
  <c r="AN2" i="1" l="1"/>
  <c r="AL1" i="1"/>
  <c r="AL2" i="6"/>
  <c r="AJ1" i="6"/>
  <c r="AP2" i="1" l="1"/>
  <c r="AN1" i="1"/>
  <c r="AN2" i="6"/>
  <c r="AL1" i="6"/>
  <c r="AR2" i="1" l="1"/>
  <c r="AP1" i="1"/>
  <c r="AN1" i="6"/>
  <c r="AP2" i="6"/>
  <c r="AT2" i="1" l="1"/>
  <c r="AR1" i="1"/>
  <c r="AR2" i="6"/>
  <c r="AP1" i="6"/>
  <c r="AV2" i="1" l="1"/>
  <c r="AT1" i="1"/>
  <c r="AT2" i="6"/>
  <c r="AR1" i="6"/>
  <c r="AX2" i="1" l="1"/>
  <c r="AV1" i="1"/>
  <c r="AT1" i="6"/>
  <c r="AV2" i="6"/>
  <c r="AX1" i="1" l="1"/>
  <c r="AZ2" i="1"/>
  <c r="AV1" i="6"/>
  <c r="AX2" i="6"/>
  <c r="BB2" i="1" l="1"/>
  <c r="AZ1" i="1"/>
  <c r="AZ2" i="6"/>
  <c r="AX1" i="6"/>
  <c r="BD2" i="1" l="1"/>
  <c r="BB1" i="1"/>
  <c r="BB2" i="6"/>
  <c r="AZ1" i="6"/>
  <c r="BF2" i="1" l="1"/>
  <c r="BD1" i="1"/>
  <c r="BB1" i="6"/>
  <c r="BD2" i="6"/>
  <c r="BH2" i="1" l="1"/>
  <c r="BF1" i="1"/>
  <c r="BD1" i="6"/>
  <c r="BF2" i="6"/>
  <c r="BH1" i="1" l="1"/>
  <c r="BJ2" i="1"/>
  <c r="BH2" i="6"/>
  <c r="BF1" i="6"/>
  <c r="BL2" i="1" l="1"/>
  <c r="BJ1" i="1"/>
  <c r="BJ2" i="6"/>
  <c r="BH1" i="6"/>
  <c r="BN2" i="1" l="1"/>
  <c r="BL1" i="1"/>
  <c r="BL2" i="6"/>
  <c r="BJ1" i="6"/>
  <c r="BN1" i="1" l="1"/>
  <c r="BP2" i="1"/>
  <c r="BL1" i="6"/>
  <c r="BN2" i="6"/>
  <c r="BR2" i="1" l="1"/>
  <c r="BP1" i="1"/>
  <c r="BP2" i="6"/>
  <c r="BN1" i="6"/>
  <c r="BR1" i="1" l="1"/>
  <c r="BT2" i="1"/>
  <c r="BR2" i="6"/>
  <c r="BP1" i="6"/>
  <c r="BV2" i="1" l="1"/>
  <c r="BT1" i="1"/>
  <c r="BR1" i="6"/>
  <c r="BT2" i="6"/>
  <c r="BX2" i="1" l="1"/>
  <c r="BX1" i="1" s="1"/>
  <c r="BV1" i="1"/>
  <c r="BT1" i="6"/>
  <c r="BV2" i="6"/>
  <c r="BX2" i="6" l="1"/>
  <c r="BV1" i="6"/>
  <c r="BZ2" i="6" l="1"/>
  <c r="BZ1" i="6" s="1"/>
  <c r="BX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Requête - chambre" description="Connexion à la requête « chambre » dans le classeur." type="5" refreshedVersion="6" background="1" saveData="1">
    <dbPr connection="Provider=Microsoft.Mashup.OleDb.1;Data Source=$Workbook$;Location=chambre;Extended Properties=&quot;&quot;" command="SELECT * FROM [chambre]"/>
  </connection>
  <connection id="2" xr16:uid="{00000000-0015-0000-FFFF-FFFF01000000}" keepAlive="1" name="Requête - consultation" description="Connexion à la requête « consultation » dans le classeur." type="5" refreshedVersion="6" background="1" saveData="1">
    <dbPr connection="Provider=Microsoft.Mashup.OleDb.1;Data Source=$Workbook$;Location=consultation;Extended Properties=&quot;&quot;" command="SELECT * FROM [consultation]"/>
  </connection>
  <connection id="3" xr16:uid="{00000000-0015-0000-FFFF-FFFF02000000}" keepAlive="1" name="Requête - etablissement" description="Connexion à la requête « etablissement » dans le classeur." type="5" refreshedVersion="6" background="1" saveData="1">
    <dbPr connection="Provider=Microsoft.Mashup.OleDb.1;Data Source=$Workbook$;Location=etablissement;Extended Properties=&quot;&quot;" command="SELECT * FROM [etablissement]"/>
  </connection>
  <connection id="4" xr16:uid="{00000000-0015-0000-FFFF-FFFF03000000}" keepAlive="1" name="Requête - fournisseur" description="Connexion à la requête « fournisseur » dans le classeur." type="5" refreshedVersion="6" background="1" saveData="1">
    <dbPr connection="Provider=Microsoft.Mashup.OleDb.1;Data Source=$Workbook$;Location=fournisseur;Extended Properties=&quot;&quot;" command="SELECT * FROM [fournisseur]"/>
  </connection>
  <connection id="5" xr16:uid="{00000000-0015-0000-FFFF-FFFF04000000}" keepAlive="1" name="Requête - materiel" description="Connexion à la requête « materiel » dans le classeur." type="5" refreshedVersion="6" background="1" saveData="1">
    <dbPr connection="Provider=Microsoft.Mashup.OleDb.1;Data Source=$Workbook$;Location=materiel;Extended Properties=&quot;&quot;" command="SELECT * FROM [materiel]"/>
  </connection>
  <connection id="6" xr16:uid="{00000000-0015-0000-FFFF-FFFF05000000}" keepAlive="1" name="Requête - medicament" description="Connexion à la requête « medicament » dans le classeur." type="5" refreshedVersion="6" background="1" saveData="1">
    <dbPr connection="Provider=Microsoft.Mashup.OleDb.1;Data Source=$Workbook$;Location=medicament;Extended Properties=&quot;&quot;" command="SELECT * FROM [medicament]"/>
  </connection>
  <connection id="7" xr16:uid="{00000000-0015-0000-FFFF-FFFF06000000}" keepAlive="1" name="Requête - mutuelle" description="Connexion à la requête « mutuelle » dans le classeur." type="5" refreshedVersion="6" background="1" saveData="1">
    <dbPr connection="Provider=Microsoft.Mashup.OleDb.1;Data Source=$Workbook$;Location=mutuelle;Extended Properties=&quot;&quot;" command="SELECT * FROM [mutuelle]"/>
  </connection>
  <connection id="8" xr16:uid="{00000000-0015-0000-FFFF-FFFF07000000}" keepAlive="1" name="Requête - patient" description="Connexion à la requête « patient » dans le classeur." type="5" refreshedVersion="6" background="1" saveData="1">
    <dbPr connection="Provider=Microsoft.Mashup.OleDb.1;Data Source=$Workbook$;Location=patient;Extended Properties=&quot;&quot;" command="SELECT * FROM [patient]"/>
  </connection>
  <connection id="9" xr16:uid="{00000000-0015-0000-FFFF-FFFF08000000}" keepAlive="1" name="Requête - personnel" description="Connexion à la requête « personnel » dans le classeur." type="5" refreshedVersion="6" background="1" saveData="1">
    <dbPr connection="Provider=Microsoft.Mashup.OleDb.1;Data Source=$Workbook$;Location=personnel;Extended Properties=&quot;&quot;" command="SELECT * FROM [personnel]"/>
  </connection>
  <connection id="10" xr16:uid="{00000000-0015-0000-FFFF-FFFF09000000}" keepAlive="1" name="Requête - personnel (1)" description="Connexion à la requête « personnel (1) » dans le classeur." type="5" refreshedVersion="6" background="1">
    <dbPr connection="Provider=Microsoft.Mashup.OleDb.1;Data Source=$Workbook$;Location=&quot;personnel (1)&quot;;Extended Properties=&quot;&quot;" command="SELECT * FROM [personnel (1)]"/>
  </connection>
  <connection id="11" xr16:uid="{00000000-0015-0000-FFFF-FFFF0A000000}" keepAlive="1" name="Requête - personnel (2)" description="Connexion à la requête « personnel (2) » dans le classeur." type="5" refreshedVersion="0" background="1">
    <dbPr connection="Provider=Microsoft.Mashup.OleDb.1;Data Source=$Workbook$;Location=&quot;personnel (2)&quot;;Extended Properties=&quot;&quot;" command="SELECT * FROM [personnel (2)]"/>
  </connection>
  <connection id="12" xr16:uid="{00000000-0015-0000-FFFF-FFFF0B000000}" keepAlive="1" name="Requête - personnel (3)" description="Connexion à la requête « personnel (3) » dans le classeur." type="5" refreshedVersion="6" background="1">
    <dbPr connection="Provider=Microsoft.Mashup.OleDb.1;Data Source=$Workbook$;Location=&quot;personnel (3)&quot;;Extended Properties=&quot;&quot;" command="SELECT * FROM [personnel (3)]"/>
  </connection>
  <connection id="13" xr16:uid="{00000000-0015-0000-FFFF-FFFF0C000000}" keepAlive="1" name="Requête - personnel (4)" description="Connexion à la requête « personnel (4) » dans le classeur." type="5" refreshedVersion="6" background="1" saveData="1">
    <dbPr connection="Provider=Microsoft.Mashup.OleDb.1;Data Source=$Workbook$;Location=&quot;personnel (4)&quot;;Extended Properties=&quot;&quot;" command="SELECT * FROM [personnel (4)]"/>
  </connection>
  <connection id="14" xr16:uid="{00000000-0015-0000-FFFF-FFFF0D000000}" keepAlive="1" name="Requête - service" description="Connexion à la requête « service » dans le classeur." type="5" refreshedVersion="6" background="1" saveData="1">
    <dbPr connection="Provider=Microsoft.Mashup.OleDb.1;Data Source=$Workbook$;Location=service;Extended Properties=&quot;&quot;" command="SELECT * FROM [service]"/>
  </connection>
</connections>
</file>

<file path=xl/sharedStrings.xml><?xml version="1.0" encoding="utf-8"?>
<sst xmlns="http://schemas.openxmlformats.org/spreadsheetml/2006/main" count="7047" uniqueCount="2794">
  <si>
    <t>JOUR</t>
  </si>
  <si>
    <t>NUIT</t>
  </si>
  <si>
    <t>Personnel</t>
  </si>
  <si>
    <t>Nom/prénom</t>
  </si>
  <si>
    <t>Personnel de nettoyage</t>
  </si>
  <si>
    <t>Personnel administratif</t>
  </si>
  <si>
    <t>Etablissement</t>
  </si>
  <si>
    <t>ID_personnel</t>
  </si>
  <si>
    <t>Nom_personnel</t>
  </si>
  <si>
    <t>Prenom_personnel</t>
  </si>
  <si>
    <t>Fonction</t>
  </si>
  <si>
    <t>Date_embauche</t>
  </si>
  <si>
    <t>Salaire_personnel</t>
  </si>
  <si>
    <t>Telephone_personnel</t>
  </si>
  <si>
    <t>Adresse_personnel</t>
  </si>
  <si>
    <t>Code_postal_personnel</t>
  </si>
  <si>
    <t>Ville_personnel</t>
  </si>
  <si>
    <t>Mail_personnel</t>
  </si>
  <si>
    <t>ID_etablissement</t>
  </si>
  <si>
    <t>ID_service</t>
  </si>
  <si>
    <t>Melaina</t>
  </si>
  <si>
    <t>Eddie</t>
  </si>
  <si>
    <t>Personnel médical</t>
  </si>
  <si>
    <t>Aide soignant</t>
  </si>
  <si>
    <t>11 COETQUEN (Rue du)</t>
  </si>
  <si>
    <t>Massy</t>
  </si>
  <si>
    <t>VXMIIC@orange.fr</t>
  </si>
  <si>
    <t>69</t>
  </si>
  <si>
    <t>Ffion</t>
  </si>
  <si>
    <t>Timoteus</t>
  </si>
  <si>
    <t>Ophtalmologue</t>
  </si>
  <si>
    <t>26 CURAÇAO (Impasse du)</t>
  </si>
  <si>
    <t>Vélizy</t>
  </si>
  <si>
    <t>VGKJFB@hotmail.fr</t>
  </si>
  <si>
    <t>42</t>
  </si>
  <si>
    <t>Arcadia</t>
  </si>
  <si>
    <t>Veera</t>
  </si>
  <si>
    <t>Chirurgien</t>
  </si>
  <si>
    <t>18 FUENTES (Avenue)</t>
  </si>
  <si>
    <t>Antony</t>
  </si>
  <si>
    <t>HSEXXZ@free.fr</t>
  </si>
  <si>
    <t>67</t>
  </si>
  <si>
    <t>Amadi</t>
  </si>
  <si>
    <t>Tuvya</t>
  </si>
  <si>
    <t>Psychologue</t>
  </si>
  <si>
    <t>20 GOUAZON (Boulevard)</t>
  </si>
  <si>
    <t>Bobigny</t>
  </si>
  <si>
    <t>MRBOGR@free.fr</t>
  </si>
  <si>
    <t>50</t>
  </si>
  <si>
    <t>Morgan</t>
  </si>
  <si>
    <t>Madeline</t>
  </si>
  <si>
    <t>4 RENCONTRE (Allée de la)</t>
  </si>
  <si>
    <t>Rungis</t>
  </si>
  <si>
    <t>LPSTPQ@free.fr</t>
  </si>
  <si>
    <t>Gry</t>
  </si>
  <si>
    <t>Steenie</t>
  </si>
  <si>
    <t>Sage femme</t>
  </si>
  <si>
    <t>43 MOUETTES (Rue des)</t>
  </si>
  <si>
    <t>Vanves</t>
  </si>
  <si>
    <t>XSYVOH@gmail.com</t>
  </si>
  <si>
    <t>64</t>
  </si>
  <si>
    <t>Miranda</t>
  </si>
  <si>
    <t>Tina</t>
  </si>
  <si>
    <t>Médecin</t>
  </si>
  <si>
    <t>20 TULIPES (Rue des)</t>
  </si>
  <si>
    <t>Malakoff</t>
  </si>
  <si>
    <t>BDIINN@hotmail.fr</t>
  </si>
  <si>
    <t>71</t>
  </si>
  <si>
    <t>Zusman</t>
  </si>
  <si>
    <t>Zosimos</t>
  </si>
  <si>
    <t>Oncologue</t>
  </si>
  <si>
    <t>34 JONQUILLES (Rue des)</t>
  </si>
  <si>
    <t>QFBVTI@wanadoo.fr</t>
  </si>
  <si>
    <t>43</t>
  </si>
  <si>
    <t>Wojciech</t>
  </si>
  <si>
    <t>Fachtna</t>
  </si>
  <si>
    <t>19 GRANDE MOINERIE (Rue de la)</t>
  </si>
  <si>
    <t>Bourg-la-reine</t>
  </si>
  <si>
    <t>GTEJEZ@hotmail.fr</t>
  </si>
  <si>
    <t>66</t>
  </si>
  <si>
    <t>Fikriyya</t>
  </si>
  <si>
    <t>Herbert</t>
  </si>
  <si>
    <t>35 CANADA (Place du)</t>
  </si>
  <si>
    <t>Montrouge</t>
  </si>
  <si>
    <t>EGHBJC@hotmail.fr</t>
  </si>
  <si>
    <t>Fryderyk</t>
  </si>
  <si>
    <t>Pascuala</t>
  </si>
  <si>
    <t>Infirmier</t>
  </si>
  <si>
    <t>2 SAINT PIERRE ET MIQUELON (Avenue)</t>
  </si>
  <si>
    <t>Garges-lès-gonesses</t>
  </si>
  <si>
    <t>ANMEXB@wanadoo.fr</t>
  </si>
  <si>
    <t>76</t>
  </si>
  <si>
    <t>Jacqui</t>
  </si>
  <si>
    <t>Kama</t>
  </si>
  <si>
    <t>23 QUEBEC (Avenue de)</t>
  </si>
  <si>
    <t>LDBOCQ@free.fr</t>
  </si>
  <si>
    <t>44</t>
  </si>
  <si>
    <t>Pearle</t>
  </si>
  <si>
    <t>Reynaud</t>
  </si>
  <si>
    <t>25 CHAPELET (Rue Roger)</t>
  </si>
  <si>
    <t>PEBMIQ@wanadoo.fr</t>
  </si>
  <si>
    <t>68</t>
  </si>
  <si>
    <t>Linford</t>
  </si>
  <si>
    <t>Yaffa</t>
  </si>
  <si>
    <t>40 CHASSE (Impasse Charles)</t>
  </si>
  <si>
    <t>FQBQYD@free.fr</t>
  </si>
  <si>
    <t>Przemo</t>
  </si>
  <si>
    <t>Hedda</t>
  </si>
  <si>
    <t>11 SEMILLANTE (Allée de la)</t>
  </si>
  <si>
    <t>Cachan</t>
  </si>
  <si>
    <t>QEQVLA@gmail.com</t>
  </si>
  <si>
    <t>Cheryl</t>
  </si>
  <si>
    <t>Damiano</t>
  </si>
  <si>
    <t>36 HARPE (Rue de la)</t>
  </si>
  <si>
    <t>Saint-cyr</t>
  </si>
  <si>
    <t>UEKGZD@wanadoo.fr</t>
  </si>
  <si>
    <t>Sapphire</t>
  </si>
  <si>
    <t>Mahavir</t>
  </si>
  <si>
    <t>24 FREGATE (Allée de la)</t>
  </si>
  <si>
    <t>HOEPWJ@hotmail.fr</t>
  </si>
  <si>
    <t>52</t>
  </si>
  <si>
    <t>Vilmar</t>
  </si>
  <si>
    <t>Eleanor</t>
  </si>
  <si>
    <t>31 BATELEURS (Rue des)</t>
  </si>
  <si>
    <t>Sceaux</t>
  </si>
  <si>
    <t>JRGYGG@hotmail.fr</t>
  </si>
  <si>
    <t>Eduard</t>
  </si>
  <si>
    <t>Madoline</t>
  </si>
  <si>
    <t>9 JONGLEURS (Rue des)</t>
  </si>
  <si>
    <t>Villeneuve Saint-Georges</t>
  </si>
  <si>
    <t>CEFBKP@free.fr</t>
  </si>
  <si>
    <t>49</t>
  </si>
  <si>
    <t>Hammond</t>
  </si>
  <si>
    <t>Lan</t>
  </si>
  <si>
    <t>8 BAZILLE (Rue Frédéric)</t>
  </si>
  <si>
    <t>LBILSQ@gmail.com</t>
  </si>
  <si>
    <t>Sunshine</t>
  </si>
  <si>
    <t>Miksa</t>
  </si>
  <si>
    <t>Urologue</t>
  </si>
  <si>
    <t>47 TERTRE VERRINE (Rue du)</t>
  </si>
  <si>
    <t>EABYAY@free.fr</t>
  </si>
  <si>
    <t>Ömer</t>
  </si>
  <si>
    <t>Ronald</t>
  </si>
  <si>
    <t>9 PETITE BARONNIE (Chemin de la)</t>
  </si>
  <si>
    <t>BSUKUG@hotmail.fr</t>
  </si>
  <si>
    <t>65</t>
  </si>
  <si>
    <t>Eoforhild</t>
  </si>
  <si>
    <t>Genoveffa</t>
  </si>
  <si>
    <t>9 COUDRIERS (Rue des)</t>
  </si>
  <si>
    <t>YQKFMF@hotmail.fr</t>
  </si>
  <si>
    <t>40</t>
  </si>
  <si>
    <t>Sarai</t>
  </si>
  <si>
    <t>Reggie</t>
  </si>
  <si>
    <t>21 CYTISES (Impasse des)</t>
  </si>
  <si>
    <t>LXJWSB@gmail.com</t>
  </si>
  <si>
    <t>Éadaoin</t>
  </si>
  <si>
    <t>Baal</t>
  </si>
  <si>
    <t>47 NORMANDS (Impasse des)</t>
  </si>
  <si>
    <t>ITTSZW@wanadoo.fr</t>
  </si>
  <si>
    <t>Sophie</t>
  </si>
  <si>
    <t>Carlton</t>
  </si>
  <si>
    <t>26 CORDIERS (Rue des)</t>
  </si>
  <si>
    <t>Arcueil</t>
  </si>
  <si>
    <t>NQOVJA@orange.fr</t>
  </si>
  <si>
    <t>51</t>
  </si>
  <si>
    <t>Spiros</t>
  </si>
  <si>
    <t>Sylvana</t>
  </si>
  <si>
    <t>9 ACACIAS (Rue des)</t>
  </si>
  <si>
    <t>Puteaux</t>
  </si>
  <si>
    <t>DQETAW@wanadoo.fr</t>
  </si>
  <si>
    <t>Sancho</t>
  </si>
  <si>
    <t>Christophe</t>
  </si>
  <si>
    <t>49 HUGO (Avenue Victor)</t>
  </si>
  <si>
    <t>FDQFDP@orange.fr</t>
  </si>
  <si>
    <t>Joab</t>
  </si>
  <si>
    <t>Jaumet</t>
  </si>
  <si>
    <t>27 SAULAIE  (Rue de la)</t>
  </si>
  <si>
    <t>SOIKIW@hotmail.fr</t>
  </si>
  <si>
    <t>Narcisse</t>
  </si>
  <si>
    <t>Iqbal</t>
  </si>
  <si>
    <t>27 MARCHES (Rue des)</t>
  </si>
  <si>
    <t>HRYCDI@gmail.com</t>
  </si>
  <si>
    <t>Kristine</t>
  </si>
  <si>
    <t>Ngai</t>
  </si>
  <si>
    <t>17 HOUSSAYE (Cour la)</t>
  </si>
  <si>
    <t>BNMFWH@gmail.com</t>
  </si>
  <si>
    <t>Beatrice</t>
  </si>
  <si>
    <t>Ralf</t>
  </si>
  <si>
    <t>48 SAINTE (Rue)</t>
  </si>
  <si>
    <t>Saint-Quentin en Yvelines</t>
  </si>
  <si>
    <t>BJYLBV@wanadoo.fr</t>
  </si>
  <si>
    <t>Ranald</t>
  </si>
  <si>
    <t>Grover</t>
  </si>
  <si>
    <t>18 FONTAINE AU BONHOMME (Avenue de la)</t>
  </si>
  <si>
    <t>Thiais</t>
  </si>
  <si>
    <t>BJBQIL@wanadoo.fr</t>
  </si>
  <si>
    <t>Fatima</t>
  </si>
  <si>
    <t>Kourtney</t>
  </si>
  <si>
    <t>19 PINS (Allée des)</t>
  </si>
  <si>
    <t>UHHZVD@gmail.com</t>
  </si>
  <si>
    <t>41</t>
  </si>
  <si>
    <t>Chad</t>
  </si>
  <si>
    <t>Theodoric</t>
  </si>
  <si>
    <t>14 ARTOIS (Rue de l')</t>
  </si>
  <si>
    <t>IFHNAY@free.fr</t>
  </si>
  <si>
    <t>Caden</t>
  </si>
  <si>
    <t>Dominik</t>
  </si>
  <si>
    <t>18 LAUNAY BRETON (Avenue de)</t>
  </si>
  <si>
    <t>Orsay</t>
  </si>
  <si>
    <t>PUKGAS@free.fr</t>
  </si>
  <si>
    <t>Oleksander</t>
  </si>
  <si>
    <t>Aatto</t>
  </si>
  <si>
    <t>30 LANCETTE (Passage de la)</t>
  </si>
  <si>
    <t>Versailles</t>
  </si>
  <si>
    <t>EIHJLQ@wanadoo.fr</t>
  </si>
  <si>
    <t>Thekla</t>
  </si>
  <si>
    <t>Maha</t>
  </si>
  <si>
    <t>24 BEAULIEU (Rue de)</t>
  </si>
  <si>
    <t>Robinson</t>
  </si>
  <si>
    <t>DWSZLF@orange.fr</t>
  </si>
  <si>
    <t>Hashim</t>
  </si>
  <si>
    <t>Khadiga</t>
  </si>
  <si>
    <t>12 CORBIERE (Rue Tristan)</t>
  </si>
  <si>
    <t>RSPUPZ@wanadoo.fr</t>
  </si>
  <si>
    <t>Philippa</t>
  </si>
  <si>
    <t>Artemisia</t>
  </si>
  <si>
    <t>42 BOULAIE (Chemin de la)</t>
  </si>
  <si>
    <t>AHGLJQ@gmail.com</t>
  </si>
  <si>
    <t>Shiphrah</t>
  </si>
  <si>
    <t>Eluned</t>
  </si>
  <si>
    <t>13 MYOSOTIS (Rue du)</t>
  </si>
  <si>
    <t>NNGQZW@gmail.com</t>
  </si>
  <si>
    <t>Vince</t>
  </si>
  <si>
    <t>Tuija</t>
  </si>
  <si>
    <t>42 BERNARD (Rue Claude)</t>
  </si>
  <si>
    <t>IZIHZM@gmail.com</t>
  </si>
  <si>
    <t>77</t>
  </si>
  <si>
    <t>Bailey</t>
  </si>
  <si>
    <t>Greet</t>
  </si>
  <si>
    <t>21 TOULOUSE LAUTREC (Rue Henri de)</t>
  </si>
  <si>
    <t>PNPXFF@wanadoo.fr</t>
  </si>
  <si>
    <t>72</t>
  </si>
  <si>
    <t>Herk</t>
  </si>
  <si>
    <t>Bernadette</t>
  </si>
  <si>
    <t>44 BURON (Allée du)</t>
  </si>
  <si>
    <t>OKVLCP@orange.fr</t>
  </si>
  <si>
    <t>Boyd</t>
  </si>
  <si>
    <t>Lanford</t>
  </si>
  <si>
    <t>15 HOGUETTE (Avenue de la)</t>
  </si>
  <si>
    <t>EXXAXR@gmail.com</t>
  </si>
  <si>
    <t>Gorka</t>
  </si>
  <si>
    <t>Eideard</t>
  </si>
  <si>
    <t>13 POREE (Boulevard)</t>
  </si>
  <si>
    <t>PAHNWA@orange.fr</t>
  </si>
  <si>
    <t>Delia</t>
  </si>
  <si>
    <t>Fritjof</t>
  </si>
  <si>
    <t>2 EGLISE  (Place de l')</t>
  </si>
  <si>
    <t>Neuilly</t>
  </si>
  <si>
    <t>YSRHHZ@free.fr</t>
  </si>
  <si>
    <t>Foka</t>
  </si>
  <si>
    <t>Akeem</t>
  </si>
  <si>
    <t>27 MINIHIC (Rue du)</t>
  </si>
  <si>
    <t>CZMVYS@wanadoo.fr</t>
  </si>
  <si>
    <t>Sorcha</t>
  </si>
  <si>
    <t>Peni</t>
  </si>
  <si>
    <t>46 IRIS (Rue des)</t>
  </si>
  <si>
    <t>KCURBA@free.fr</t>
  </si>
  <si>
    <t>Abegail</t>
  </si>
  <si>
    <t>20 SERRES (Impasse des)</t>
  </si>
  <si>
    <t>Gometz-le-chatel</t>
  </si>
  <si>
    <t>DFPPAU@gmail.com</t>
  </si>
  <si>
    <t>Isabel</t>
  </si>
  <si>
    <t>Venceslao</t>
  </si>
  <si>
    <t>21 IRIS (Rue des)</t>
  </si>
  <si>
    <t>Gentilly</t>
  </si>
  <si>
    <t>RLCXUF@orange.fr</t>
  </si>
  <si>
    <t>Marla</t>
  </si>
  <si>
    <t>Ward</t>
  </si>
  <si>
    <t>48 CHAPELLE (Rue de la)</t>
  </si>
  <si>
    <t>TVCYMB@orange.fr</t>
  </si>
  <si>
    <t>Merlin</t>
  </si>
  <si>
    <t>Zak</t>
  </si>
  <si>
    <t>50 LEMARIE (Rue Henri)</t>
  </si>
  <si>
    <t>XAYDFB@hotmail.fr</t>
  </si>
  <si>
    <t>45</t>
  </si>
  <si>
    <t>Esteve</t>
  </si>
  <si>
    <t>Gerrard</t>
  </si>
  <si>
    <t>20 DESIRADE (Rue de la)</t>
  </si>
  <si>
    <t>l'Hay-les-roses</t>
  </si>
  <si>
    <t>KJSWHX@hotmail.fr</t>
  </si>
  <si>
    <t>Solvig</t>
  </si>
  <si>
    <t>Nerissa</t>
  </si>
  <si>
    <t>31 PERRIER (Boulevard)</t>
  </si>
  <si>
    <t>GCOWDM@orange.fr</t>
  </si>
  <si>
    <t>Cináed</t>
  </si>
  <si>
    <t>Rada</t>
  </si>
  <si>
    <t>44 ANCIENS COMBATTANTS D'AFRIQUE DU NORD</t>
  </si>
  <si>
    <t>EDTZLU@free.fr</t>
  </si>
  <si>
    <t>Laraine</t>
  </si>
  <si>
    <t>Mykhaylo</t>
  </si>
  <si>
    <t>27 VILLES ALLIS (Rue des)</t>
  </si>
  <si>
    <t>ZZJJUN@hotmail.fr</t>
  </si>
  <si>
    <t>60</t>
  </si>
  <si>
    <t>Glyn</t>
  </si>
  <si>
    <t>Ruaidrí</t>
  </si>
  <si>
    <t>33 EOLE (Impasse d')</t>
  </si>
  <si>
    <t>KCVDNZ@hotmail.fr</t>
  </si>
  <si>
    <t>Confucius</t>
  </si>
  <si>
    <t>Ofydd</t>
  </si>
  <si>
    <t>3 SURCOUF (Rue Robert)</t>
  </si>
  <si>
    <t>CNHJJO@orange.fr</t>
  </si>
  <si>
    <t>Melor</t>
  </si>
  <si>
    <t>Suzie</t>
  </si>
  <si>
    <t>32 MINIHIC (Rue du)</t>
  </si>
  <si>
    <t>ZRSBTO@gmail.com</t>
  </si>
  <si>
    <t>Faunus</t>
  </si>
  <si>
    <t>Lindsey</t>
  </si>
  <si>
    <t>23 CONFIANCE (Rue de la)</t>
  </si>
  <si>
    <t>IAPRQF@gmail.com</t>
  </si>
  <si>
    <t>Dido</t>
  </si>
  <si>
    <t>Ciaran</t>
  </si>
  <si>
    <t>36 TESSERIE (Avenue de la)</t>
  </si>
  <si>
    <t>SIWHXJ@wanadoo.fr</t>
  </si>
  <si>
    <t>83</t>
  </si>
  <si>
    <t>Benjamín</t>
  </si>
  <si>
    <t>Merry</t>
  </si>
  <si>
    <t>9 EOLE (Impasse d')</t>
  </si>
  <si>
    <t>PZUVDD@hotmail.fr</t>
  </si>
  <si>
    <t>46</t>
  </si>
  <si>
    <t>Steen</t>
  </si>
  <si>
    <t>Mateo</t>
  </si>
  <si>
    <t>14 NEPTUNE (Rue de)</t>
  </si>
  <si>
    <t>CHQQEZ@orange.fr</t>
  </si>
  <si>
    <t>Shari</t>
  </si>
  <si>
    <t>Fridtjof</t>
  </si>
  <si>
    <t>44 DIXMUDE (Rue de)</t>
  </si>
  <si>
    <t>GCNKEW@wanadoo.fr</t>
  </si>
  <si>
    <t>Paulene</t>
  </si>
  <si>
    <t>Alease</t>
  </si>
  <si>
    <t>41 ARGENTEUIL (Rue d')</t>
  </si>
  <si>
    <t>Boulogne-billancourt</t>
  </si>
  <si>
    <t>AJDHCP@gmail.com</t>
  </si>
  <si>
    <t>Ásdís</t>
  </si>
  <si>
    <t>Amie</t>
  </si>
  <si>
    <t>41 BEAUSITE (Impasse)</t>
  </si>
  <si>
    <t>YQJFIJ@hotmail.fr</t>
  </si>
  <si>
    <t>Rufino</t>
  </si>
  <si>
    <t>Jaylin</t>
  </si>
  <si>
    <t>36 CHENES (Rue des)</t>
  </si>
  <si>
    <t>VOANNP@orange.fr</t>
  </si>
  <si>
    <t>Tormod</t>
  </si>
  <si>
    <t>Joost</t>
  </si>
  <si>
    <t>32 POINTE DU CHRIST (allée de la)</t>
  </si>
  <si>
    <t>WAUWNK@gmail.com</t>
  </si>
  <si>
    <t>80</t>
  </si>
  <si>
    <t>Ivanna</t>
  </si>
  <si>
    <t>Gull</t>
  </si>
  <si>
    <t>36 GASNIER DUPARC (Place)</t>
  </si>
  <si>
    <t>SEGDGK@wanadoo.fr</t>
  </si>
  <si>
    <t>Larisa</t>
  </si>
  <si>
    <t>Otis</t>
  </si>
  <si>
    <t>24 GRAND JARDIN (Impasse du)</t>
  </si>
  <si>
    <t>EUSYPQ@orange.fr</t>
  </si>
  <si>
    <t>63</t>
  </si>
  <si>
    <t>Ajith</t>
  </si>
  <si>
    <t>Noelle</t>
  </si>
  <si>
    <t>Personnel d'entretien</t>
  </si>
  <si>
    <t>24 GAUGUIN (Rue Paul)</t>
  </si>
  <si>
    <t>Saint-denis</t>
  </si>
  <si>
    <t>KYJVLM@wanadoo.fr</t>
  </si>
  <si>
    <t>Eris</t>
  </si>
  <si>
    <t>Serenity</t>
  </si>
  <si>
    <t>44 HESRY (Rue Jacques)</t>
  </si>
  <si>
    <t>GELSYJ@wanadoo.fr</t>
  </si>
  <si>
    <t>Guilherme</t>
  </si>
  <si>
    <t>Conchobhar</t>
  </si>
  <si>
    <t>Secrétaire</t>
  </si>
  <si>
    <t>23 CLOS DE MATIGNON (Allée du)</t>
  </si>
  <si>
    <t>TQKBWB@wanadoo.fr</t>
  </si>
  <si>
    <t>Euthymius</t>
  </si>
  <si>
    <t>Sapphira</t>
  </si>
  <si>
    <t>Responsable ressources humaines</t>
  </si>
  <si>
    <t>14 BROCHET (Impasse du )</t>
  </si>
  <si>
    <t>XLXRTI@free.fr</t>
  </si>
  <si>
    <t>Coralie</t>
  </si>
  <si>
    <t>Sunitha</t>
  </si>
  <si>
    <t>33 BASSE FLOURIE (Chemin de la)</t>
  </si>
  <si>
    <t>OMMCSC@free.fr</t>
  </si>
  <si>
    <t>Eniola</t>
  </si>
  <si>
    <t>Plamen</t>
  </si>
  <si>
    <t>Hôte/Hôtesse d'accueil</t>
  </si>
  <si>
    <t>34 GUIMORAIS (Avenue de la)</t>
  </si>
  <si>
    <t>HKDDJE@hotmail.fr</t>
  </si>
  <si>
    <t>Honey</t>
  </si>
  <si>
    <t>Claus</t>
  </si>
  <si>
    <t>34 TOUR DU BONHEUR (Rue de la)</t>
  </si>
  <si>
    <t>UHMSTZ@orange.fr</t>
  </si>
  <si>
    <t>Joona</t>
  </si>
  <si>
    <t>Romano</t>
  </si>
  <si>
    <t>25 LEONORE (Impasse de la)</t>
  </si>
  <si>
    <t>LYLOMW@orange.fr</t>
  </si>
  <si>
    <t>Alcyone</t>
  </si>
  <si>
    <t>Gwyneth</t>
  </si>
  <si>
    <t>23 BONNET FLAMAND (Rue du)</t>
  </si>
  <si>
    <t>PFEWPK@hotmail.fr</t>
  </si>
  <si>
    <t>Anne</t>
  </si>
  <si>
    <t>Yusra</t>
  </si>
  <si>
    <t>Directeur</t>
  </si>
  <si>
    <t>24 BOURNAZEL (Avenue de)</t>
  </si>
  <si>
    <t>VDGATE@orange.fr</t>
  </si>
  <si>
    <t>Tristen</t>
  </si>
  <si>
    <t>Fitz</t>
  </si>
  <si>
    <t>21 BEAULIEU (Impasse du Tertre de)</t>
  </si>
  <si>
    <t>ABHBVF@hotmail.fr</t>
  </si>
  <si>
    <t>Aaren</t>
  </si>
  <si>
    <t>Aatami</t>
  </si>
  <si>
    <t>8 PARENTHOINE (Rue Alfred)</t>
  </si>
  <si>
    <t>AAXAMC@hotmail.fr</t>
  </si>
  <si>
    <t>Gormlaith</t>
  </si>
  <si>
    <t>Erykah</t>
  </si>
  <si>
    <t>45 GRANDE ANGUILLE (Rue de la)</t>
  </si>
  <si>
    <t>LKSRVV@free.fr</t>
  </si>
  <si>
    <t>Nolene</t>
  </si>
  <si>
    <t>Naomhán</t>
  </si>
  <si>
    <t>17 CORBIERES (Impasse des)</t>
  </si>
  <si>
    <t>GCOKZU@free.fr</t>
  </si>
  <si>
    <t>Bedros</t>
  </si>
  <si>
    <t>Seòsaidh</t>
  </si>
  <si>
    <t>39 DE TRIQUERVILLE (Rue J.P.)</t>
  </si>
  <si>
    <t>MDNMMN@gmail.com</t>
  </si>
  <si>
    <t>Vishnu</t>
  </si>
  <si>
    <t>Mu</t>
  </si>
  <si>
    <t>26 ETRILLES (Rue des)</t>
  </si>
  <si>
    <t>GWBXQS@hotmail.fr</t>
  </si>
  <si>
    <t>Shakuntala</t>
  </si>
  <si>
    <t>Trahaearn</t>
  </si>
  <si>
    <t>25 SAFFRAY (Rue Jules)</t>
  </si>
  <si>
    <t>UVCYEP@gmail.com</t>
  </si>
  <si>
    <t>Leia</t>
  </si>
  <si>
    <t>Ili</t>
  </si>
  <si>
    <t>16 ANCIENS COMBATTANTS (R.P.)</t>
  </si>
  <si>
    <t>TKOTGA@orange.fr</t>
  </si>
  <si>
    <t>Mansoor</t>
  </si>
  <si>
    <t>Diamond</t>
  </si>
  <si>
    <t>17 NAYE (Fort du)</t>
  </si>
  <si>
    <t>TOFJTO@hotmail.fr</t>
  </si>
  <si>
    <t>Dumitru</t>
  </si>
  <si>
    <t>Ragnhildur</t>
  </si>
  <si>
    <t>9 VERON (Paul) et ACPG (Rond Point)</t>
  </si>
  <si>
    <t>HSFRDT@free.fr</t>
  </si>
  <si>
    <t>Petrina</t>
  </si>
  <si>
    <t>Wallis</t>
  </si>
  <si>
    <t>22 VIGUIER (Rue)</t>
  </si>
  <si>
    <t>QNMIVK@wanadoo.fr</t>
  </si>
  <si>
    <t>Mat</t>
  </si>
  <si>
    <t>Vulcan</t>
  </si>
  <si>
    <t>46 MAINE (Rue du)</t>
  </si>
  <si>
    <t>FUDKKZ@free.fr</t>
  </si>
  <si>
    <t>Peyton</t>
  </si>
  <si>
    <t>Fortunato</t>
  </si>
  <si>
    <t>3 BIR HAKEIM (Impasse)</t>
  </si>
  <si>
    <t>UCEWSM@wanadoo.fr</t>
  </si>
  <si>
    <t>Yale</t>
  </si>
  <si>
    <t>Nanook</t>
  </si>
  <si>
    <t>25 DESCARTES (Rue)</t>
  </si>
  <si>
    <t>FJLPJR@gmail.com</t>
  </si>
  <si>
    <t>Shiloh</t>
  </si>
  <si>
    <t>Avis</t>
  </si>
  <si>
    <t>20 OLLIVRAULT (Impasse)</t>
  </si>
  <si>
    <t>KPWTXJ@orange.fr</t>
  </si>
  <si>
    <t>Hákan</t>
  </si>
  <si>
    <t>Deepak</t>
  </si>
  <si>
    <t>50 DUGUESCLIN (Avenue)</t>
  </si>
  <si>
    <t>YEWSSR@gmail.com</t>
  </si>
  <si>
    <t>Hamza</t>
  </si>
  <si>
    <t>Yahveh</t>
  </si>
  <si>
    <t>25 VILLE COLLET (Cour)</t>
  </si>
  <si>
    <t>Asnières</t>
  </si>
  <si>
    <t>YETHOJ@hotmail.fr</t>
  </si>
  <si>
    <t>Elain</t>
  </si>
  <si>
    <t>Kamryn</t>
  </si>
  <si>
    <t>37 NOGUES (Impasse Maurice)</t>
  </si>
  <si>
    <t>EYWUKJ@free.fr</t>
  </si>
  <si>
    <t>Meaveen</t>
  </si>
  <si>
    <t>Rune</t>
  </si>
  <si>
    <t>45 BRISELAINE (Rue de)</t>
  </si>
  <si>
    <t>QUHBCW@orange.fr</t>
  </si>
  <si>
    <t>Mokosh</t>
  </si>
  <si>
    <t>Encarnacion</t>
  </si>
  <si>
    <t>39 HEMAR (Rue Victor)</t>
  </si>
  <si>
    <t>URJIZD@hotmail.fr</t>
  </si>
  <si>
    <t>Þórr</t>
  </si>
  <si>
    <t>Agrona</t>
  </si>
  <si>
    <t>32 LEFORESTIER (Rue René)</t>
  </si>
  <si>
    <t>NCXFOH@gmail.com</t>
  </si>
  <si>
    <t>Lucia</t>
  </si>
  <si>
    <t>Thalia</t>
  </si>
  <si>
    <t>20 ARGONAUTES (Rue des)</t>
  </si>
  <si>
    <t>KSEQVH@orange.fr</t>
  </si>
  <si>
    <t>Star</t>
  </si>
  <si>
    <t>Treasa</t>
  </si>
  <si>
    <t>42 TERTRE (Impasse du)</t>
  </si>
  <si>
    <t>ZKRFCH@orange.fr</t>
  </si>
  <si>
    <t>Eallair</t>
  </si>
  <si>
    <t>Tye</t>
  </si>
  <si>
    <t>9 LA CHAMBRE (Rue Charles)</t>
  </si>
  <si>
    <t>AELTNO@gmail.com</t>
  </si>
  <si>
    <t>Liesa</t>
  </si>
  <si>
    <t>Servius</t>
  </si>
  <si>
    <t>4 BEAUSITE (Impasse)</t>
  </si>
  <si>
    <t>NZVEQE@free.fr</t>
  </si>
  <si>
    <t>Ekaterina</t>
  </si>
  <si>
    <t>Nadir</t>
  </si>
  <si>
    <t>22 DOUTRELEAU (Rue)</t>
  </si>
  <si>
    <t>MCXJQF@wanadoo.fr</t>
  </si>
  <si>
    <t>Erica</t>
  </si>
  <si>
    <t>Patricia</t>
  </si>
  <si>
    <t>38 ANCIENS COMBATTANTS D'AFRIQUE DU NORD</t>
  </si>
  <si>
    <t>JNTZMM@orange.fr</t>
  </si>
  <si>
    <t>Milburn</t>
  </si>
  <si>
    <t>Maria</t>
  </si>
  <si>
    <t>16 ANEMONES(rue des)</t>
  </si>
  <si>
    <t>WVQNIH@orange.fr</t>
  </si>
  <si>
    <t>Friedhold</t>
  </si>
  <si>
    <t>Cambria</t>
  </si>
  <si>
    <t>40 SOUVESTRE (Impasse Emile)</t>
  </si>
  <si>
    <t>EKEVKK@free.fr</t>
  </si>
  <si>
    <t>Laxmi</t>
  </si>
  <si>
    <t>Alix</t>
  </si>
  <si>
    <t>14 SERVANNAIS (Terre Plein des)</t>
  </si>
  <si>
    <t>CSYWHY@wanadoo.fr</t>
  </si>
  <si>
    <t>Berthold</t>
  </si>
  <si>
    <t>Örjan</t>
  </si>
  <si>
    <t>31 DEMALVILAIN (Boulevard Léonce)</t>
  </si>
  <si>
    <t>GVTFBQ@free.fr</t>
  </si>
  <si>
    <t>Andreja</t>
  </si>
  <si>
    <t>Savanna</t>
  </si>
  <si>
    <t>44 ORME (Rue de l')</t>
  </si>
  <si>
    <t>VOBFEQ@orange.fr</t>
  </si>
  <si>
    <t>Léopold</t>
  </si>
  <si>
    <t>Metin</t>
  </si>
  <si>
    <t>50 MOUETTES (Rue des)</t>
  </si>
  <si>
    <t>DDEILY@hotmail.fr</t>
  </si>
  <si>
    <t>Mars</t>
  </si>
  <si>
    <t>Firmin</t>
  </si>
  <si>
    <t>27 ETOUPE (Rue de l')</t>
  </si>
  <si>
    <t>ZXQAJS@hotmail.fr</t>
  </si>
  <si>
    <t>Janan</t>
  </si>
  <si>
    <t>Amos</t>
  </si>
  <si>
    <t>48 SAINT IDEUC (Rue de)</t>
  </si>
  <si>
    <t>TKIARK@gmail.com</t>
  </si>
  <si>
    <t>Temujin</t>
  </si>
  <si>
    <t>Maddalena</t>
  </si>
  <si>
    <t>3 MENESTRELS (Rue des)</t>
  </si>
  <si>
    <t>MGJIXN@wanadoo.fr</t>
  </si>
  <si>
    <t>Álvaro</t>
  </si>
  <si>
    <t>Tzofiya</t>
  </si>
  <si>
    <t>34 CAP (Enclos du)</t>
  </si>
  <si>
    <t>ETGZLM@gmail.com</t>
  </si>
  <si>
    <t>Lonnie</t>
  </si>
  <si>
    <t>Osborn</t>
  </si>
  <si>
    <t>16 NATION (Rue de la)</t>
  </si>
  <si>
    <t>FDFCNH@free.fr</t>
  </si>
  <si>
    <t>Kelia</t>
  </si>
  <si>
    <t>Olumide</t>
  </si>
  <si>
    <t>28 GOELETRIE (Rue de la)</t>
  </si>
  <si>
    <t>HUAHSX@free.fr</t>
  </si>
  <si>
    <t>Antero</t>
  </si>
  <si>
    <t>Myriam</t>
  </si>
  <si>
    <t>18 HOUSSAYE (Cour la)</t>
  </si>
  <si>
    <t>IPYCYS@hotmail.fr</t>
  </si>
  <si>
    <t>Annikki</t>
  </si>
  <si>
    <t>Kiera</t>
  </si>
  <si>
    <t>12 CHASSE (Impasse Charles)</t>
  </si>
  <si>
    <t>HJWRZF@gmail.com</t>
  </si>
  <si>
    <t>Sophronius</t>
  </si>
  <si>
    <t>Anahita</t>
  </si>
  <si>
    <t>27 PETIT PARAMÉ (Rue du)</t>
  </si>
  <si>
    <t>GWRDWN@gmail.com</t>
  </si>
  <si>
    <t>Süleyman</t>
  </si>
  <si>
    <t>Marwa</t>
  </si>
  <si>
    <t>37 QUEBEC (Place du)</t>
  </si>
  <si>
    <t>Paris</t>
  </si>
  <si>
    <t>GFAWFW@gmail.com</t>
  </si>
  <si>
    <t>Carl</t>
  </si>
  <si>
    <t>Renée</t>
  </si>
  <si>
    <t>37 CORNE DE CERF (Rue de la)</t>
  </si>
  <si>
    <t>GKEKDV@gmail.com</t>
  </si>
  <si>
    <t>Eli</t>
  </si>
  <si>
    <t>Anasztázia</t>
  </si>
  <si>
    <t>34 CLOS VERT (Rue du)</t>
  </si>
  <si>
    <t>SPNLVH@hotmail.fr</t>
  </si>
  <si>
    <t>Debbi</t>
  </si>
  <si>
    <t>Paise</t>
  </si>
  <si>
    <t>17 PETITS DEGRES (Rue des)</t>
  </si>
  <si>
    <t>IWFAHY@orange.fr</t>
  </si>
  <si>
    <t>Kazuko</t>
  </si>
  <si>
    <t>Nereida</t>
  </si>
  <si>
    <t>30 PETIT PARAMÉ (Place du)</t>
  </si>
  <si>
    <t>BVPIIT@free.fr</t>
  </si>
  <si>
    <t>Emiliana</t>
  </si>
  <si>
    <t>Mikhail</t>
  </si>
  <si>
    <t>36 PRIEURE SAINT-DOMIN (Rue du)</t>
  </si>
  <si>
    <t>ZGNOFN@orange.fr</t>
  </si>
  <si>
    <t>Daithí</t>
  </si>
  <si>
    <t>35 SAINT MICHEL (Avenue)</t>
  </si>
  <si>
    <t>EERCDT@hotmail.fr</t>
  </si>
  <si>
    <t>Tadej</t>
  </si>
  <si>
    <t>Lysandra</t>
  </si>
  <si>
    <t>13 CROIX DU FIEF (Place de la)</t>
  </si>
  <si>
    <t>XWOJDZ@hotmail.fr</t>
  </si>
  <si>
    <t>Manuel</t>
  </si>
  <si>
    <t>Estachio</t>
  </si>
  <si>
    <t>47 CORMORANS (Impasse des)</t>
  </si>
  <si>
    <t>OFWVJF@gmail.com</t>
  </si>
  <si>
    <t>Olavi</t>
  </si>
  <si>
    <t>30 LE TURC (Rue)</t>
  </si>
  <si>
    <t>YZJNXT@free.fr</t>
  </si>
  <si>
    <t>Ciril</t>
  </si>
  <si>
    <t>Purdie</t>
  </si>
  <si>
    <t>23 DIXMUDE (Rue de)</t>
  </si>
  <si>
    <t>VMLZGL@wanadoo.fr</t>
  </si>
  <si>
    <t>Vesa</t>
  </si>
  <si>
    <t>Noémie</t>
  </si>
  <si>
    <t>15 SALINES (Rue des)</t>
  </si>
  <si>
    <t>FTTUOT@free.fr</t>
  </si>
  <si>
    <t>Trini</t>
  </si>
  <si>
    <t>Ikaika</t>
  </si>
  <si>
    <t>49 GRAND VERGER (Rue du)</t>
  </si>
  <si>
    <t>DPQMRC@wanadoo.fr</t>
  </si>
  <si>
    <t>Fernand</t>
  </si>
  <si>
    <t>Bryanna</t>
  </si>
  <si>
    <t>46 CONNETABLE (Rue du)</t>
  </si>
  <si>
    <t>AKMXRC@wanadoo.fr</t>
  </si>
  <si>
    <t>Finn</t>
  </si>
  <si>
    <t>Terrell</t>
  </si>
  <si>
    <t>17 GAUGUIN (Rue Paul)</t>
  </si>
  <si>
    <t>HISWFJ@orange.fr</t>
  </si>
  <si>
    <t>Mahmood</t>
  </si>
  <si>
    <t>Atarah</t>
  </si>
  <si>
    <t>33 MARSOUIN (Impasse du)</t>
  </si>
  <si>
    <t>XCRHYA@orange.fr</t>
  </si>
  <si>
    <t>Bhaskar</t>
  </si>
  <si>
    <t>Carlito</t>
  </si>
  <si>
    <t>16 VICTOIRE (Rue de la)</t>
  </si>
  <si>
    <t>BILFFE@orange.fr</t>
  </si>
  <si>
    <t>Hortensia</t>
  </si>
  <si>
    <t>Artturi</t>
  </si>
  <si>
    <t>45 DELASTELLE (Impasse)</t>
  </si>
  <si>
    <t>LLVHFB@free.fr</t>
  </si>
  <si>
    <t>Ern</t>
  </si>
  <si>
    <t>Lommán</t>
  </si>
  <si>
    <t>45 FONTAINE AUX PELERINS (Rue de la)</t>
  </si>
  <si>
    <t>DRUTQO@hotmail.fr</t>
  </si>
  <si>
    <t>Luitgard</t>
  </si>
  <si>
    <t>Alphonzo</t>
  </si>
  <si>
    <t>43 TROIS MATS (Impasse des)</t>
  </si>
  <si>
    <t>MJVNKP@orange.fr</t>
  </si>
  <si>
    <t>Boghos</t>
  </si>
  <si>
    <t>Fredrik</t>
  </si>
  <si>
    <t>22 COCHET (Rue Jean-Marie)</t>
  </si>
  <si>
    <t>SKGSDI@free.fr</t>
  </si>
  <si>
    <t>Ilker</t>
  </si>
  <si>
    <t>Frannie</t>
  </si>
  <si>
    <t>7 EPHYRA (Allée)</t>
  </si>
  <si>
    <t>OHXPUY@wanadoo.fr</t>
  </si>
  <si>
    <t>Kaiser</t>
  </si>
  <si>
    <t>Giovanna</t>
  </si>
  <si>
    <t>36 GRAND JARDIN (Impasse du)</t>
  </si>
  <si>
    <t>KVZCCS@gmail.com</t>
  </si>
  <si>
    <t>Matrona</t>
  </si>
  <si>
    <t>Pat</t>
  </si>
  <si>
    <t>14 BELETTES (Rue des)</t>
  </si>
  <si>
    <t>XFTWDW@gmail.com</t>
  </si>
  <si>
    <t>Kiyoko</t>
  </si>
  <si>
    <t>Ashleigh</t>
  </si>
  <si>
    <t>19 CAPITAINE LESCOT (Impasse)</t>
  </si>
  <si>
    <t>LYPDVE@orange.fr</t>
  </si>
  <si>
    <t>Ríghnach</t>
  </si>
  <si>
    <t>Gershon</t>
  </si>
  <si>
    <t>11 POINT DU JOUR (Rue du)</t>
  </si>
  <si>
    <t>VYHZYE@wanadoo.fr</t>
  </si>
  <si>
    <t>Zdenek</t>
  </si>
  <si>
    <t>Shayla</t>
  </si>
  <si>
    <t>24 ALET (Rue d')</t>
  </si>
  <si>
    <t>TDMABN@wanadoo.fr</t>
  </si>
  <si>
    <t>Boyce</t>
  </si>
  <si>
    <t>Cilka</t>
  </si>
  <si>
    <t>45 MOULIN DE LA MOTTE (Impasse du)</t>
  </si>
  <si>
    <t>LBXRSE@wanadoo.fr</t>
  </si>
  <si>
    <t>Joshua</t>
  </si>
  <si>
    <t>Régis</t>
  </si>
  <si>
    <t>23 CHANOINE E. LAINE (Rue du)</t>
  </si>
  <si>
    <t>XMCXKG@gmail.com</t>
  </si>
  <si>
    <t>Kreszentia</t>
  </si>
  <si>
    <t>4 GARDELLE (Rue de la)</t>
  </si>
  <si>
    <t>TYUBEH@hotmail.fr</t>
  </si>
  <si>
    <t>Gwladus</t>
  </si>
  <si>
    <t>Heliodoro</t>
  </si>
  <si>
    <t>13 DEMALVILAIN (Boulevard Léonce)</t>
  </si>
  <si>
    <t>STCVFT@wanadoo.fr</t>
  </si>
  <si>
    <t>Phoenix</t>
  </si>
  <si>
    <t>Constantia</t>
  </si>
  <si>
    <t>45 SAVEANT (Rue Jean)</t>
  </si>
  <si>
    <t>CRGYJS@wanadoo.fr</t>
  </si>
  <si>
    <t>Sepp</t>
  </si>
  <si>
    <t>Jordi</t>
  </si>
  <si>
    <t>39 DUPONT (Rue Etienne)</t>
  </si>
  <si>
    <t>CMMLIX@wanadoo.fr</t>
  </si>
  <si>
    <t>Firenze</t>
  </si>
  <si>
    <t>Rowan</t>
  </si>
  <si>
    <t>10 LIBERATION (Rond-Point de la)</t>
  </si>
  <si>
    <t>JXWJRB@wanadoo.fr</t>
  </si>
  <si>
    <t>Ann</t>
  </si>
  <si>
    <t>Odette</t>
  </si>
  <si>
    <t>37 GRAND DOMAINE (Allée du)</t>
  </si>
  <si>
    <t>YSZFOH@orange.fr</t>
  </si>
  <si>
    <t>Pollux</t>
  </si>
  <si>
    <t>Luther</t>
  </si>
  <si>
    <t>25 ARTOIS (Rue de l')</t>
  </si>
  <si>
    <t>ORYXDG@free.fr</t>
  </si>
  <si>
    <t>Ngaio</t>
  </si>
  <si>
    <t>Alanis</t>
  </si>
  <si>
    <t>37 NAVIGATEURS (Rue des)</t>
  </si>
  <si>
    <t>UAIHYI@free.fr</t>
  </si>
  <si>
    <t>Liviu</t>
  </si>
  <si>
    <t>Takako</t>
  </si>
  <si>
    <t>36 GUIBERT (Rue)</t>
  </si>
  <si>
    <t>PFUIAO@free.fr</t>
  </si>
  <si>
    <t>Frederico</t>
  </si>
  <si>
    <t>Den</t>
  </si>
  <si>
    <t>2 VILLE COLLET (Cour)</t>
  </si>
  <si>
    <t>SSADDR@gmail.com</t>
  </si>
  <si>
    <t>Heaven</t>
  </si>
  <si>
    <t>Bartal</t>
  </si>
  <si>
    <t>25 MONTAGNE Saint-Joseph (Rue de la)</t>
  </si>
  <si>
    <t>ETFPPQ@free.fr</t>
  </si>
  <si>
    <t>Jovita</t>
  </si>
  <si>
    <t>Euthalia</t>
  </si>
  <si>
    <t>18 CROIX CHEMIN (Rue de la)</t>
  </si>
  <si>
    <t>GBPQGP@gmail.com</t>
  </si>
  <si>
    <t>Zella</t>
  </si>
  <si>
    <t>38 BERTHAUT (Rue Léon)</t>
  </si>
  <si>
    <t>YSZTXU@orange.fr</t>
  </si>
  <si>
    <t>Susumu</t>
  </si>
  <si>
    <t>Scotty</t>
  </si>
  <si>
    <t>49 TINTIAUX (Rue des)</t>
  </si>
  <si>
    <t>JDFXFR@hotmail.fr</t>
  </si>
  <si>
    <t>Kali</t>
  </si>
  <si>
    <t>Venceslav</t>
  </si>
  <si>
    <t>18 DREUX (Rue)</t>
  </si>
  <si>
    <t>QHRACB@gmail.com</t>
  </si>
  <si>
    <t>Francene</t>
  </si>
  <si>
    <t>Trijntje</t>
  </si>
  <si>
    <t>29 BEAUSEJOUR (Rue)</t>
  </si>
  <si>
    <t>PCLUTV@hotmail.fr</t>
  </si>
  <si>
    <t>Cybele</t>
  </si>
  <si>
    <t>Eirlys</t>
  </si>
  <si>
    <t>44 PONT (Rue du)</t>
  </si>
  <si>
    <t>JODZTS@hotmail.fr</t>
  </si>
  <si>
    <t>Manus</t>
  </si>
  <si>
    <t>Talya</t>
  </si>
  <si>
    <t>27 CHAPELET (Rue Roger)</t>
  </si>
  <si>
    <t>UFPICV@wanadoo.fr</t>
  </si>
  <si>
    <t>Jirí</t>
  </si>
  <si>
    <t>Terese</t>
  </si>
  <si>
    <t>20 COQ HARDI (Impasse du)</t>
  </si>
  <si>
    <t>LGELHC@gmail.com</t>
  </si>
  <si>
    <t>Madison</t>
  </si>
  <si>
    <t>Evdokiya</t>
  </si>
  <si>
    <t>8 PETITE BARONNIE (Chemin de la)</t>
  </si>
  <si>
    <t>UIDWEE@hotmail.fr</t>
  </si>
  <si>
    <t>Ciara</t>
  </si>
  <si>
    <t>Christen</t>
  </si>
  <si>
    <t>37 CAMUS (Rue Albert)</t>
  </si>
  <si>
    <t>WAKVHN@orange.fr</t>
  </si>
  <si>
    <t>Rémi</t>
  </si>
  <si>
    <t>Grenville</t>
  </si>
  <si>
    <t>7 VAUBOREL (Rue)</t>
  </si>
  <si>
    <t>VVWDVO@free.fr</t>
  </si>
  <si>
    <t>Janice</t>
  </si>
  <si>
    <t>Lothario</t>
  </si>
  <si>
    <t>13 MARCHE (Place du)</t>
  </si>
  <si>
    <t>QBUURP@gmail.com</t>
  </si>
  <si>
    <t>Zaray</t>
  </si>
  <si>
    <t>Krishna</t>
  </si>
  <si>
    <t>22 SAINT-ETIENNE (Rue de )</t>
  </si>
  <si>
    <t>VLZAWM@gmail.com</t>
  </si>
  <si>
    <t>Xiomara</t>
  </si>
  <si>
    <t>Hamish</t>
  </si>
  <si>
    <t>48 COUDRAY (Place Georges)</t>
  </si>
  <si>
    <t>KHBBKI@free.fr</t>
  </si>
  <si>
    <t>Lucasta</t>
  </si>
  <si>
    <t>Tabatha</t>
  </si>
  <si>
    <t>39 TRITON (Passage du)</t>
  </si>
  <si>
    <t>CRPXGS@wanadoo.fr</t>
  </si>
  <si>
    <t>Gladwyn</t>
  </si>
  <si>
    <t>Sam</t>
  </si>
  <si>
    <t>26 GUENE (Rue Emile)</t>
  </si>
  <si>
    <t>YJJKVQ@orange.fr</t>
  </si>
  <si>
    <t>Riaz</t>
  </si>
  <si>
    <t>Tímea</t>
  </si>
  <si>
    <t>25 MARTINIQUE (Rue de la)</t>
  </si>
  <si>
    <t>ZGFABB@wanadoo.fr</t>
  </si>
  <si>
    <t>Enok</t>
  </si>
  <si>
    <t>34 DINAN (Quai de)</t>
  </si>
  <si>
    <t>RWCSFS@gmail.com</t>
  </si>
  <si>
    <t>Randy</t>
  </si>
  <si>
    <t>Lyall</t>
  </si>
  <si>
    <t>41 AURIGNY (Allée d')</t>
  </si>
  <si>
    <t>IVEJFA@gmail.com</t>
  </si>
  <si>
    <t>Sebestyen</t>
  </si>
  <si>
    <t>Fouad</t>
  </si>
  <si>
    <t>14 TERTRE BELOT (Rue du)</t>
  </si>
  <si>
    <t>OQWMPZ@wanadoo.fr</t>
  </si>
  <si>
    <t>Wilkie</t>
  </si>
  <si>
    <t>Gilchrist</t>
  </si>
  <si>
    <t>21 MAC DONALD STEWART (Rue David)</t>
  </si>
  <si>
    <t>MKVMVW@orange.fr</t>
  </si>
  <si>
    <t>Feardorcha</t>
  </si>
  <si>
    <t>Ena</t>
  </si>
  <si>
    <t>26 SAINT AARON (Place)</t>
  </si>
  <si>
    <t>YRBSXZ@hotmail.fr</t>
  </si>
  <si>
    <t>Denise</t>
  </si>
  <si>
    <t>Obadiah</t>
  </si>
  <si>
    <t>22 COSNES (Rue des)</t>
  </si>
  <si>
    <t>PSIJTB@free.fr</t>
  </si>
  <si>
    <t>Fawn</t>
  </si>
  <si>
    <t>Samuele</t>
  </si>
  <si>
    <t>43 HACHE (Rue de la)</t>
  </si>
  <si>
    <t>VAKYXG@wanadoo.fr</t>
  </si>
  <si>
    <t>Hadassah</t>
  </si>
  <si>
    <t>Torger</t>
  </si>
  <si>
    <t>23 GENERAL PATTON (Rue du)</t>
  </si>
  <si>
    <t>YMPBXM@gmail.com</t>
  </si>
  <si>
    <t>Anjelica</t>
  </si>
  <si>
    <t>Cillín</t>
  </si>
  <si>
    <t>31 GUENE (Rue Emile)</t>
  </si>
  <si>
    <t>ILRWVD@gmail.com</t>
  </si>
  <si>
    <t>Hugh</t>
  </si>
  <si>
    <t>Braelyn</t>
  </si>
  <si>
    <t>24 TOUR D'AUVERGNE (Boulevard de la)</t>
  </si>
  <si>
    <t>LUUTEP@gmail.com</t>
  </si>
  <si>
    <t>Elzbieta</t>
  </si>
  <si>
    <t>Hyam</t>
  </si>
  <si>
    <t>15 RUSSY (Rue de)</t>
  </si>
  <si>
    <t>HXPCFX@hotmail.fr</t>
  </si>
  <si>
    <t>Gafar</t>
  </si>
  <si>
    <t>Justyna</t>
  </si>
  <si>
    <t>21 BRISELAINE (Rue de)</t>
  </si>
  <si>
    <t>VMPSGR@wanadoo.fr</t>
  </si>
  <si>
    <t>Donovan</t>
  </si>
  <si>
    <t>Lior</t>
  </si>
  <si>
    <t>25 PETIT CHAMP (Square du)</t>
  </si>
  <si>
    <t>LGALWB@orange.fr</t>
  </si>
  <si>
    <t>Estrella</t>
  </si>
  <si>
    <t>Photine</t>
  </si>
  <si>
    <t>6 ABBAYE (Rue de l')</t>
  </si>
  <si>
    <t>EQQPDQ@wanadoo.fr</t>
  </si>
  <si>
    <t>Kasia</t>
  </si>
  <si>
    <t>Siv</t>
  </si>
  <si>
    <t>6 SAPINS (Avenue des)</t>
  </si>
  <si>
    <t>ESVBGY@gmail.com</t>
  </si>
  <si>
    <t>Caspar</t>
  </si>
  <si>
    <t>Fabian</t>
  </si>
  <si>
    <t>19 SAINT FRANCOIS XAVIER (Place)</t>
  </si>
  <si>
    <t>XLIEFD@hotmail.fr</t>
  </si>
  <si>
    <t>Ashlie</t>
  </si>
  <si>
    <t>Jedrzej</t>
  </si>
  <si>
    <t>24 BOUVET (Place)</t>
  </si>
  <si>
    <t>TQCTCZ@hotmail.fr</t>
  </si>
  <si>
    <t>Yvo</t>
  </si>
  <si>
    <t>Halldóra</t>
  </si>
  <si>
    <t>34 PARE  (Rue Ambroise)</t>
  </si>
  <si>
    <t>YIVAQZ@free.fr</t>
  </si>
  <si>
    <t>Ruaridh</t>
  </si>
  <si>
    <t>Zena</t>
  </si>
  <si>
    <t>31 DELALANDE (Rue Jean)</t>
  </si>
  <si>
    <t>RXLZLL@wanadoo.fr</t>
  </si>
  <si>
    <t>Mervyn</t>
  </si>
  <si>
    <t>35 MAISON NEUVE (Rue de la )</t>
  </si>
  <si>
    <t>UQAHEX@hotmail.fr</t>
  </si>
  <si>
    <t>Henrik</t>
  </si>
  <si>
    <t>Damiana</t>
  </si>
  <si>
    <t>34 TERTRE BELOT (Rue du)</t>
  </si>
  <si>
    <t>MEBRHR@orange.fr</t>
  </si>
  <si>
    <t>Farrah</t>
  </si>
  <si>
    <t>Hamlet</t>
  </si>
  <si>
    <t>43 NOROIT (Passage)</t>
  </si>
  <si>
    <t>AHPLWY@gmail.com</t>
  </si>
  <si>
    <t>Alannis</t>
  </si>
  <si>
    <t>Peder</t>
  </si>
  <si>
    <t>44 AMARYLLIS (rue des)</t>
  </si>
  <si>
    <t>SCEYOT@gmail.com</t>
  </si>
  <si>
    <t>Brandt</t>
  </si>
  <si>
    <t>Aarne</t>
  </si>
  <si>
    <t>25 NEPTUNE (Rue de)</t>
  </si>
  <si>
    <t>UXOGKM@gmail.com</t>
  </si>
  <si>
    <t>Aloisia</t>
  </si>
  <si>
    <t>Tendai</t>
  </si>
  <si>
    <t>28 ROUTHOUAN (Rue du)</t>
  </si>
  <si>
    <t>ZALBHC@gmail.com</t>
  </si>
  <si>
    <t>Ráichéal</t>
  </si>
  <si>
    <t>Natasha</t>
  </si>
  <si>
    <t>45 GASPE (Rue de)</t>
  </si>
  <si>
    <t>EZWMYM@wanadoo.fr</t>
  </si>
  <si>
    <t>Elpis</t>
  </si>
  <si>
    <t>Ignatius</t>
  </si>
  <si>
    <t>26 FLAUBERT (Impasse Gustave)</t>
  </si>
  <si>
    <t>QOKSSB@hotmail.fr</t>
  </si>
  <si>
    <t>Filippo</t>
  </si>
  <si>
    <t>Oliver</t>
  </si>
  <si>
    <t>19 LANCETTE (Passage de la)</t>
  </si>
  <si>
    <t>ADPGTS@gmail.com</t>
  </si>
  <si>
    <t>Eliphelet</t>
  </si>
  <si>
    <t>Petr</t>
  </si>
  <si>
    <t>49 RIVASSELOU (Allée de)</t>
  </si>
  <si>
    <t>TEQGCS@orange.fr</t>
  </si>
  <si>
    <t>Pål</t>
  </si>
  <si>
    <t>Sroel</t>
  </si>
  <si>
    <t>16 COQUELIN (Parking Jean)</t>
  </si>
  <si>
    <t>LJSMJB@free.fr</t>
  </si>
  <si>
    <t>Xyleena</t>
  </si>
  <si>
    <t>Farley</t>
  </si>
  <si>
    <t>31 ROULAIS (Place de la)</t>
  </si>
  <si>
    <t>NIOBMS@orange.fr</t>
  </si>
  <si>
    <t>Estella</t>
  </si>
  <si>
    <t>Harry</t>
  </si>
  <si>
    <t>38 CEZEMBRE  (Rue de)</t>
  </si>
  <si>
    <t>RQNLLK@gmail.com</t>
  </si>
  <si>
    <t>Earleen</t>
  </si>
  <si>
    <t>Ruben</t>
  </si>
  <si>
    <t>3 CHAMP PEGASE (Ruelle du)</t>
  </si>
  <si>
    <t>WCQEXQ@orange.fr</t>
  </si>
  <si>
    <t>Yorick</t>
  </si>
  <si>
    <t>24 POIDS DU ROI (Place du)</t>
  </si>
  <si>
    <t>CVQMYK@orange.fr</t>
  </si>
  <si>
    <t>Chas</t>
  </si>
  <si>
    <t>Anat</t>
  </si>
  <si>
    <t>9 DELALANDE (Rue Jean)</t>
  </si>
  <si>
    <t>IQQLTJ@gmail.com</t>
  </si>
  <si>
    <t>Kolman</t>
  </si>
  <si>
    <t>31 PLESSIS (Rue du)</t>
  </si>
  <si>
    <t>NRWMSC@wanadoo.fr</t>
  </si>
  <si>
    <t>Iolo</t>
  </si>
  <si>
    <t>Hale</t>
  </si>
  <si>
    <t>38 JARNOUEN DE VILLARTAY (Rue Guy)</t>
  </si>
  <si>
    <t>BXCMSI@gmail.com</t>
  </si>
  <si>
    <t>Etage</t>
  </si>
  <si>
    <t>Ophtalmologie</t>
  </si>
  <si>
    <t>D</t>
  </si>
  <si>
    <t>S</t>
  </si>
  <si>
    <t>Oncologie</t>
  </si>
  <si>
    <t>Urgence</t>
  </si>
  <si>
    <t>Psychiatrie</t>
  </si>
  <si>
    <t>Urologie</t>
  </si>
  <si>
    <t>Dermatologie</t>
  </si>
  <si>
    <t>Endrocrinologie</t>
  </si>
  <si>
    <t>Dépistage</t>
  </si>
  <si>
    <t>Médecine générale</t>
  </si>
  <si>
    <t>Chirurgie</t>
  </si>
  <si>
    <t>Dentaire</t>
  </si>
  <si>
    <t>Imagerie</t>
  </si>
  <si>
    <t>Neurochirurgie</t>
  </si>
  <si>
    <t>ID_patient</t>
  </si>
  <si>
    <t>Nom_patient</t>
  </si>
  <si>
    <t>Prenom_patient</t>
  </si>
  <si>
    <t>Adresse_patient</t>
  </si>
  <si>
    <t>Code_postale_patient</t>
  </si>
  <si>
    <t>Ville_patient</t>
  </si>
  <si>
    <t>Mail_patient</t>
  </si>
  <si>
    <t>Telephone_patient</t>
  </si>
  <si>
    <t>Age_patient</t>
  </si>
  <si>
    <t>Poids_patient</t>
  </si>
  <si>
    <t>Taille_patient</t>
  </si>
  <si>
    <t>Sexe_patient</t>
  </si>
  <si>
    <t>Allergie</t>
  </si>
  <si>
    <t>Securite_sociale_CMU</t>
  </si>
  <si>
    <t>ID_mutuelle</t>
  </si>
  <si>
    <t>Zloch</t>
  </si>
  <si>
    <t>Baptiste</t>
  </si>
  <si>
    <t>BQQVZR@wanadoo.fr</t>
  </si>
  <si>
    <t>M</t>
  </si>
  <si>
    <t>Klamoxyl</t>
  </si>
  <si>
    <t>Mirjam</t>
  </si>
  <si>
    <t>27 COURTIL (Rue du)</t>
  </si>
  <si>
    <t>CUEGCJ@gmail.com</t>
  </si>
  <si>
    <t>F</t>
  </si>
  <si>
    <t>Aspirine</t>
  </si>
  <si>
    <t>Archimedes</t>
  </si>
  <si>
    <t>Griffith</t>
  </si>
  <si>
    <t>25 ANTILLES (Rue des)</t>
  </si>
  <si>
    <t>IIKEKH@wanadoo.fr</t>
  </si>
  <si>
    <t>0</t>
  </si>
  <si>
    <t>Basma</t>
  </si>
  <si>
    <t>Janus</t>
  </si>
  <si>
    <t>19 HOGUETTE (Avenue de la)</t>
  </si>
  <si>
    <t>QKZEBD@free.fr</t>
  </si>
  <si>
    <t>Pénicilline</t>
  </si>
  <si>
    <t>Merlyn</t>
  </si>
  <si>
    <t>Bijoy</t>
  </si>
  <si>
    <t>44 DE CHATILLON (Place Jean)</t>
  </si>
  <si>
    <t>VNFXVW@hotmail.fr</t>
  </si>
  <si>
    <t>Roald</t>
  </si>
  <si>
    <t>Ingemar</t>
  </si>
  <si>
    <t>3 VARDE (Avenue de la)</t>
  </si>
  <si>
    <t>LIFPJX@free.fr</t>
  </si>
  <si>
    <t>Frang</t>
  </si>
  <si>
    <t>Kevork</t>
  </si>
  <si>
    <t>29 FONTAINE (Rue de la)</t>
  </si>
  <si>
    <t>FWOKRJ@hotmail.fr</t>
  </si>
  <si>
    <t>Babette</t>
  </si>
  <si>
    <t>Stanislas</t>
  </si>
  <si>
    <t>34 CLAUDEL (Rue Marguerite)</t>
  </si>
  <si>
    <t>GVIKUM@hotmail.fr</t>
  </si>
  <si>
    <t>Neuroleptique</t>
  </si>
  <si>
    <t>Mscislaw</t>
  </si>
  <si>
    <t>Corin</t>
  </si>
  <si>
    <t>32 LAURENCIN (Rue Marie)</t>
  </si>
  <si>
    <t>VUKSWX@free.fr</t>
  </si>
  <si>
    <t>Hjalmar</t>
  </si>
  <si>
    <t>Nsonowa</t>
  </si>
  <si>
    <t>28 GUADELOUPE (Rue de la)</t>
  </si>
  <si>
    <t>GTFQKH@hotmail.fr</t>
  </si>
  <si>
    <t>Kathy</t>
  </si>
  <si>
    <t>Dragica</t>
  </si>
  <si>
    <t>29 AIGUILLE (Impasse de l')</t>
  </si>
  <si>
    <t>CSXYNM@gmail.com</t>
  </si>
  <si>
    <t>Sini</t>
  </si>
  <si>
    <t>Krystine</t>
  </si>
  <si>
    <t>28 TUNIS (Rue de)</t>
  </si>
  <si>
    <t>SYEWBK@hotmail.fr</t>
  </si>
  <si>
    <t>Homéopathie</t>
  </si>
  <si>
    <t>Seraphine</t>
  </si>
  <si>
    <t>Muirgheal</t>
  </si>
  <si>
    <t>46 BELLEVENT (Rue de)</t>
  </si>
  <si>
    <t>FBDGKE@hotmail.fr</t>
  </si>
  <si>
    <t>Judita</t>
  </si>
  <si>
    <t>Sly</t>
  </si>
  <si>
    <t>38 MANOIR (Place du)</t>
  </si>
  <si>
    <t>BJPXVQ@hotmail.fr</t>
  </si>
  <si>
    <t>Severo</t>
  </si>
  <si>
    <t>Nancy</t>
  </si>
  <si>
    <t>34 FLAUDAIS (Allée de la)</t>
  </si>
  <si>
    <t>EGGDGJ@wanadoo.fr</t>
  </si>
  <si>
    <t>Insuline</t>
  </si>
  <si>
    <t>Polyxena</t>
  </si>
  <si>
    <t>40 SURCOUF (Rue Robert)</t>
  </si>
  <si>
    <t>ZDRVQC@free.fr</t>
  </si>
  <si>
    <t>Anton</t>
  </si>
  <si>
    <t>Eutropius</t>
  </si>
  <si>
    <t>44 GENERAL FERRIE (Avenue du)</t>
  </si>
  <si>
    <t>DCRCAX@free.fr</t>
  </si>
  <si>
    <t>Valerio</t>
  </si>
  <si>
    <t>Lisa</t>
  </si>
  <si>
    <t>47 FRESNE (Rue du)</t>
  </si>
  <si>
    <t>VMDPXA@gmail.com</t>
  </si>
  <si>
    <t>Grusha</t>
  </si>
  <si>
    <t>Augusta</t>
  </si>
  <si>
    <t>35 NOGUES (Rue Maurice)</t>
  </si>
  <si>
    <t>WHSAME@orange.fr</t>
  </si>
  <si>
    <t>Jerry</t>
  </si>
  <si>
    <t>Jaxon</t>
  </si>
  <si>
    <t>48 AULNES (Rue des)</t>
  </si>
  <si>
    <t>WJKSZD@free.fr</t>
  </si>
  <si>
    <t>Phobos</t>
  </si>
  <si>
    <t>Misha</t>
  </si>
  <si>
    <t>46 PETITE HUPEE (Impasse de la)</t>
  </si>
  <si>
    <t>BWYWYD@wanadoo.fr</t>
  </si>
  <si>
    <t>Kenshin</t>
  </si>
  <si>
    <t>Jitendra</t>
  </si>
  <si>
    <t>42 SAVEANT (Rue Jean)</t>
  </si>
  <si>
    <t>ZQRPCS@hotmail.fr</t>
  </si>
  <si>
    <t>Jeremiah</t>
  </si>
  <si>
    <t>Alesha</t>
  </si>
  <si>
    <t>28 CLAUDEL (Rue Marguerite)</t>
  </si>
  <si>
    <t>PUDVJM@orange.fr</t>
  </si>
  <si>
    <t>Iode</t>
  </si>
  <si>
    <t>Bodil</t>
  </si>
  <si>
    <t>11 GRANDE MOINERIE (Rue de la)</t>
  </si>
  <si>
    <t>LKANHS@wanadoo.fr</t>
  </si>
  <si>
    <t>Witold</t>
  </si>
  <si>
    <t>25 SERVANTINE (Allée de la)</t>
  </si>
  <si>
    <t>XCUIIY@hotmail.fr</t>
  </si>
  <si>
    <t>Slavomir</t>
  </si>
  <si>
    <t>Sarita</t>
  </si>
  <si>
    <t>47 ENCLOS DU MOULIN (Rue de l')</t>
  </si>
  <si>
    <t>FRGMSO@wanadoo.fr</t>
  </si>
  <si>
    <t>Gobind</t>
  </si>
  <si>
    <t>Florine</t>
  </si>
  <si>
    <t>42 GOELETRIE (Impasse de la)</t>
  </si>
  <si>
    <t>KQIKPI@free.fr</t>
  </si>
  <si>
    <t>Hosanna</t>
  </si>
  <si>
    <t>Gaenor</t>
  </si>
  <si>
    <t>30 CORMORANS (Impasse des)</t>
  </si>
  <si>
    <t>KCDCOP@gmail.com</t>
  </si>
  <si>
    <t>Mick</t>
  </si>
  <si>
    <t>Mnason</t>
  </si>
  <si>
    <t>20 PLESSIS (Rue du)</t>
  </si>
  <si>
    <t>IQYIJJ@orange.fr</t>
  </si>
  <si>
    <t>Hadya</t>
  </si>
  <si>
    <t>Tillo</t>
  </si>
  <si>
    <t>6 CHENARD DE LA GIRAUDAIS (Rue)</t>
  </si>
  <si>
    <t>KYGQAD@orange.fr</t>
  </si>
  <si>
    <t>Zinovia</t>
  </si>
  <si>
    <t>Caoilainn</t>
  </si>
  <si>
    <t>40 DANYCAN (Rue)</t>
  </si>
  <si>
    <t>VYIXAW@free.fr</t>
  </si>
  <si>
    <t>Britta</t>
  </si>
  <si>
    <t>Ju</t>
  </si>
  <si>
    <t>4 PORCON DE LA BARBINAIS (Rue)</t>
  </si>
  <si>
    <t>DFJKOS@gmail.com</t>
  </si>
  <si>
    <t>Cernunnos</t>
  </si>
  <si>
    <t>Delphina</t>
  </si>
  <si>
    <t>48 LAENNEC (Rue)</t>
  </si>
  <si>
    <t>PGEVDR@free.fr</t>
  </si>
  <si>
    <t>Ofra</t>
  </si>
  <si>
    <t>Kaleb</t>
  </si>
  <si>
    <t>14 VILLE JOUAN (Rue de la)</t>
  </si>
  <si>
    <t>BEQSJW@hotmail.fr</t>
  </si>
  <si>
    <t>Beathan</t>
  </si>
  <si>
    <t>35 NATION (Rue de la)</t>
  </si>
  <si>
    <t>SMRQYM@gmail.com</t>
  </si>
  <si>
    <t>Aleksi</t>
  </si>
  <si>
    <t>Breandán</t>
  </si>
  <si>
    <t>32 CROIX CHEMIN (Rue de la)</t>
  </si>
  <si>
    <t>XEZLMJ@free.fr</t>
  </si>
  <si>
    <t>Haley</t>
  </si>
  <si>
    <t>Béibhinn</t>
  </si>
  <si>
    <t>2 MALOUINIERE (Impasse de la)</t>
  </si>
  <si>
    <t>QPAMFI@orange.fr</t>
  </si>
  <si>
    <t>Shahrokh</t>
  </si>
  <si>
    <t>Usagi</t>
  </si>
  <si>
    <t>36 CASTOR (Rue du)</t>
  </si>
  <si>
    <t>WILTJC@orange.fr</t>
  </si>
  <si>
    <t>Camron</t>
  </si>
  <si>
    <t>Roslyn</t>
  </si>
  <si>
    <t>20 CHENES (Rue des)</t>
  </si>
  <si>
    <t>CJYIQS@gmail.com</t>
  </si>
  <si>
    <t>Hanan</t>
  </si>
  <si>
    <t>Lane</t>
  </si>
  <si>
    <t>6 BOISOUZE (Place)</t>
  </si>
  <si>
    <t>GMDXXM@hotmail.fr</t>
  </si>
  <si>
    <t>Jerusha</t>
  </si>
  <si>
    <t>LSTVZP@orange.fr</t>
  </si>
  <si>
    <t>Eldred</t>
  </si>
  <si>
    <t>Alisa</t>
  </si>
  <si>
    <t>9 SALINETTE (Rue de la)</t>
  </si>
  <si>
    <t>KADJOY@wanadoo.fr</t>
  </si>
  <si>
    <t>Vilhelmi</t>
  </si>
  <si>
    <t>Leanna</t>
  </si>
  <si>
    <t>34 DURAND (Rue Mathieu)</t>
  </si>
  <si>
    <t>XXHBPU@hotmail.fr</t>
  </si>
  <si>
    <t>Heida</t>
  </si>
  <si>
    <t>Joses</t>
  </si>
  <si>
    <t>7 LORETTE (Avenue de)</t>
  </si>
  <si>
    <t>FBUJGS@wanadoo.fr</t>
  </si>
  <si>
    <t>Jaan</t>
  </si>
  <si>
    <t>39 JOSSEAUME (Place jacques Etienne)</t>
  </si>
  <si>
    <t>QNGIWX@hotmail.fr</t>
  </si>
  <si>
    <t>Shai</t>
  </si>
  <si>
    <t>Sharona</t>
  </si>
  <si>
    <t>42 VAL ANTIQUE (Impasse du)</t>
  </si>
  <si>
    <t>IEILIL@hotmail.fr</t>
  </si>
  <si>
    <t>Fionnghall</t>
  </si>
  <si>
    <t>Gioconda</t>
  </si>
  <si>
    <t>1 PETIT CHAMP (Square du)</t>
  </si>
  <si>
    <t>VCHYAB@gmail.com</t>
  </si>
  <si>
    <t>Cosimo</t>
  </si>
  <si>
    <t>Cearra</t>
  </si>
  <si>
    <t>25 RENAN (Rue Ernest)</t>
  </si>
  <si>
    <t>SIYPBN@wanadoo.fr</t>
  </si>
  <si>
    <t>Swithun</t>
  </si>
  <si>
    <t>Joos</t>
  </si>
  <si>
    <t>10 DEJAN (Rue René)</t>
  </si>
  <si>
    <t>BIGAFT@free.fr</t>
  </si>
  <si>
    <t>Gerontius</t>
  </si>
  <si>
    <t>Gwilherm</t>
  </si>
  <si>
    <t>47 RANCE (Passage de la)</t>
  </si>
  <si>
    <t>UKEIXB@wanadoo.fr</t>
  </si>
  <si>
    <t>Katelyn</t>
  </si>
  <si>
    <t>Loreen</t>
  </si>
  <si>
    <t>1 HESRY (Rue Jacques)</t>
  </si>
  <si>
    <t>YOZNUR@hotmail.fr</t>
  </si>
  <si>
    <t>Grigor</t>
  </si>
  <si>
    <t>Gratia</t>
  </si>
  <si>
    <t>38 CHARTRES (Rue de)</t>
  </si>
  <si>
    <t>BFATMH@gmail.com</t>
  </si>
  <si>
    <t>Dene</t>
  </si>
  <si>
    <t>Austen</t>
  </si>
  <si>
    <t>18 VICTOIRE (Rue de la)</t>
  </si>
  <si>
    <t>DGPTWH@gmail.com</t>
  </si>
  <si>
    <t>Camryn</t>
  </si>
  <si>
    <t>Rachelle</t>
  </si>
  <si>
    <t>14 SAINT VINCENT (Quai)</t>
  </si>
  <si>
    <t>NPIEUU@gmail.com</t>
  </si>
  <si>
    <t>Andra</t>
  </si>
  <si>
    <t>Arundhati</t>
  </si>
  <si>
    <t>33 BON VENT (Impasse du)</t>
  </si>
  <si>
    <t>UNAJUX@free.fr</t>
  </si>
  <si>
    <t>Lachlan</t>
  </si>
  <si>
    <t>Gianpaolo</t>
  </si>
  <si>
    <t>12 FOURS A CHAUX (Rue des)</t>
  </si>
  <si>
    <t>UKNQLK@free.fr</t>
  </si>
  <si>
    <t>Antonio</t>
  </si>
  <si>
    <t>Szilvia</t>
  </si>
  <si>
    <t>5 VAN GOGH (Allée Vincent)</t>
  </si>
  <si>
    <t>GAQPTC@orange.fr</t>
  </si>
  <si>
    <t>Luce</t>
  </si>
  <si>
    <t>Paki</t>
  </si>
  <si>
    <t>23 GROS CHENE (Impasse du)</t>
  </si>
  <si>
    <t>EZTJSX@orange.fr</t>
  </si>
  <si>
    <t>Gunter</t>
  </si>
  <si>
    <t>Pascaline</t>
  </si>
  <si>
    <t>26 CROIX RAUX (Rue de la)</t>
  </si>
  <si>
    <t>MVCKJU@free.fr</t>
  </si>
  <si>
    <t>Ulrika</t>
  </si>
  <si>
    <t>Hallvard</t>
  </si>
  <si>
    <t>12 DE LA MORVONNAIS (Rue Hippolyte)</t>
  </si>
  <si>
    <t>YCROVP@hotmail.fr</t>
  </si>
  <si>
    <t>Izzy</t>
  </si>
  <si>
    <t>Diarmaid</t>
  </si>
  <si>
    <t>10 JONQUILLES (Rue des)</t>
  </si>
  <si>
    <t>QEHZJH@gmail.com</t>
  </si>
  <si>
    <t>Isocrates</t>
  </si>
  <si>
    <t>Russell</t>
  </si>
  <si>
    <t>21 FLOURIE (Place de la)</t>
  </si>
  <si>
    <t>UYBRUV@free.fr</t>
  </si>
  <si>
    <t>Jenci</t>
  </si>
  <si>
    <t>Lennie</t>
  </si>
  <si>
    <t>33 AMOUREUX (Chemin des)</t>
  </si>
  <si>
    <t>XMJSCC@free.fr</t>
  </si>
  <si>
    <t>Orna</t>
  </si>
  <si>
    <t>Modesto</t>
  </si>
  <si>
    <t>18 MAURIERS (Rue des)</t>
  </si>
  <si>
    <t>DNCXYU@hotmail.fr</t>
  </si>
  <si>
    <t>Qiu</t>
  </si>
  <si>
    <t>Abednego</t>
  </si>
  <si>
    <t>39 CORBINIERE (Passage de la)</t>
  </si>
  <si>
    <t>VPJUSE@hotmail.fr</t>
  </si>
  <si>
    <t>Bratumil</t>
  </si>
  <si>
    <t>Czeslaw</t>
  </si>
  <si>
    <t>38 DALI (Rue Salvador)</t>
  </si>
  <si>
    <t>JMHPUB@hotmail.fr</t>
  </si>
  <si>
    <t>Kriemhilde</t>
  </si>
  <si>
    <t>Cowal</t>
  </si>
  <si>
    <t>31 BASSE VILLE AU ROUX (Rue de la)</t>
  </si>
  <si>
    <t>WVASII@free.fr</t>
  </si>
  <si>
    <t>Leonore</t>
  </si>
  <si>
    <t>Helga</t>
  </si>
  <si>
    <t>32 CHAMP PEGASE (Ruelle du)</t>
  </si>
  <si>
    <t>VTELWO@gmail.com</t>
  </si>
  <si>
    <t>Uberto</t>
  </si>
  <si>
    <t>Orson</t>
  </si>
  <si>
    <t>3 LE BRAZ (Rue Anatole)</t>
  </si>
  <si>
    <t>JFDIBB@orange.fr</t>
  </si>
  <si>
    <t>Jock</t>
  </si>
  <si>
    <t>Vasilica</t>
  </si>
  <si>
    <t>43 TAVET (Rue Constant)</t>
  </si>
  <si>
    <t>FBFMZZ@orange.fr</t>
  </si>
  <si>
    <t>Godofredo</t>
  </si>
  <si>
    <t>Jemma</t>
  </si>
  <si>
    <t>10 DRAKKAR (Rue du)</t>
  </si>
  <si>
    <t>JCQFXJ@orange.fr</t>
  </si>
  <si>
    <t>Gigi</t>
  </si>
  <si>
    <t>Edmé</t>
  </si>
  <si>
    <t>6 PONT QUI TREMBLE (Rue du)</t>
  </si>
  <si>
    <t>QSZESO@gmail.com</t>
  </si>
  <si>
    <t>Firmino</t>
  </si>
  <si>
    <t>Gwenda</t>
  </si>
  <si>
    <t>12 JACINTHES (Rue des)</t>
  </si>
  <si>
    <t>EUAXDF@wanadoo.fr</t>
  </si>
  <si>
    <t>Mimi</t>
  </si>
  <si>
    <t>Elva</t>
  </si>
  <si>
    <t>5 COMPTOIRS (Avenue des)</t>
  </si>
  <si>
    <t>YPPTNP@wanadoo.fr</t>
  </si>
  <si>
    <t>Lawahiz</t>
  </si>
  <si>
    <t>Niloofar</t>
  </si>
  <si>
    <t>50 PERRINE (Rue de la)</t>
  </si>
  <si>
    <t>QQHHVH@orange.fr</t>
  </si>
  <si>
    <t>Teunis</t>
  </si>
  <si>
    <t>Kynaston</t>
  </si>
  <si>
    <t>16 CURIE (Square)</t>
  </si>
  <si>
    <t>LFHQDH@orange.fr</t>
  </si>
  <si>
    <t>Shelley</t>
  </si>
  <si>
    <t>Wawrzyniec</t>
  </si>
  <si>
    <t>46 BOULNAYE (Rue de la)</t>
  </si>
  <si>
    <t>DMPXCW@wanadoo.fr</t>
  </si>
  <si>
    <t>Chandler</t>
  </si>
  <si>
    <t>Gaila</t>
  </si>
  <si>
    <t>1 BALUE (Rue de la)</t>
  </si>
  <si>
    <t>DXQFEY@gmail.com</t>
  </si>
  <si>
    <t>Zelpha</t>
  </si>
  <si>
    <t>Jayda</t>
  </si>
  <si>
    <t>2 CHARTRES (Rue de)</t>
  </si>
  <si>
    <t>VTWUXN@free.fr</t>
  </si>
  <si>
    <t>Ira</t>
  </si>
  <si>
    <t>Svyatopolk</t>
  </si>
  <si>
    <t>16 PERRIER (Boulevard)</t>
  </si>
  <si>
    <t>OYPZVD@free.fr</t>
  </si>
  <si>
    <t>Young</t>
  </si>
  <si>
    <t>Orval</t>
  </si>
  <si>
    <t>48 METZ (Rue de)</t>
  </si>
  <si>
    <t>LGXBJN@gmail.com</t>
  </si>
  <si>
    <t>Suraj</t>
  </si>
  <si>
    <t>Gilbert</t>
  </si>
  <si>
    <t>25 MIRIEL (Rue)</t>
  </si>
  <si>
    <t>ANCTVT@gmail.com</t>
  </si>
  <si>
    <t>Niklas</t>
  </si>
  <si>
    <t>Ulrich</t>
  </si>
  <si>
    <t>14 MAUPERTUIS (Rue)</t>
  </si>
  <si>
    <t>PUTKWN@wanadoo.fr</t>
  </si>
  <si>
    <t>Aghavni</t>
  </si>
  <si>
    <t>Azeneth</t>
  </si>
  <si>
    <t>33 CORMORANS (Impasse des)</t>
  </si>
  <si>
    <t>NLIZQT@orange.fr</t>
  </si>
  <si>
    <t>Brunella</t>
  </si>
  <si>
    <t>Una</t>
  </si>
  <si>
    <t>40 MONTADOR (Rue Jean-François)</t>
  </si>
  <si>
    <t>YKMWBT@hotmail.fr</t>
  </si>
  <si>
    <t>Roeland</t>
  </si>
  <si>
    <t>Xoán</t>
  </si>
  <si>
    <t>42 ORIEUX (Rue des)</t>
  </si>
  <si>
    <t>VCZOAA@wanadoo.fr</t>
  </si>
  <si>
    <t>Flora</t>
  </si>
  <si>
    <t>Somhairle</t>
  </si>
  <si>
    <t>42 BOTREL (Bd Théodore)</t>
  </si>
  <si>
    <t>OJCFTN@gmail.com</t>
  </si>
  <si>
    <t>Petrica</t>
  </si>
  <si>
    <t>Kjetil</t>
  </si>
  <si>
    <t>37 PORT (Rue du)</t>
  </si>
  <si>
    <t>EQURKD@orange.fr</t>
  </si>
  <si>
    <t>Lavrenti</t>
  </si>
  <si>
    <t>Salli</t>
  </si>
  <si>
    <t>19 BROUSSAIS (Rue)</t>
  </si>
  <si>
    <t>DUTXBZ@wanadoo.fr</t>
  </si>
  <si>
    <t>Nyssa</t>
  </si>
  <si>
    <t>48 LUCET (Rue de)</t>
  </si>
  <si>
    <t>ZVINOS@gmail.com</t>
  </si>
  <si>
    <t>Ran</t>
  </si>
  <si>
    <t>Larrie</t>
  </si>
  <si>
    <t>43 DINAN (Quai de)</t>
  </si>
  <si>
    <t>DZYDLO@free.fr</t>
  </si>
  <si>
    <t>Malka</t>
  </si>
  <si>
    <t>Merrick</t>
  </si>
  <si>
    <t>22 BELLEVUE (Rue de)</t>
  </si>
  <si>
    <t>MEAFFW@hotmail.fr</t>
  </si>
  <si>
    <t>Marielle</t>
  </si>
  <si>
    <t>Aniela</t>
  </si>
  <si>
    <t>21 HAVRE (Chemin du)</t>
  </si>
  <si>
    <t>TJBMNL@hotmail.fr</t>
  </si>
  <si>
    <t>Dona</t>
  </si>
  <si>
    <t>Aloysius</t>
  </si>
  <si>
    <t>8 BRIAND (Place Aristide)</t>
  </si>
  <si>
    <t>RIVYIP@wanadoo.fr</t>
  </si>
  <si>
    <t>Tristin</t>
  </si>
  <si>
    <t>1 MARE (Rue de la)</t>
  </si>
  <si>
    <t>TDOZCZ@orange.fr</t>
  </si>
  <si>
    <t>Thyra</t>
  </si>
  <si>
    <t>Cupid</t>
  </si>
  <si>
    <t>17 HAUT-PUITS (Rue du)</t>
  </si>
  <si>
    <t>VGNXEY@orange.fr</t>
  </si>
  <si>
    <t>Doron</t>
  </si>
  <si>
    <t>Lawanda</t>
  </si>
  <si>
    <t>12 CERTAIN (Rue Pierre)</t>
  </si>
  <si>
    <t>JZDZWT@hotmail.fr</t>
  </si>
  <si>
    <t>Pancrazio</t>
  </si>
  <si>
    <t>Katey</t>
  </si>
  <si>
    <t>30 ILE HARBOUR (Allée de l')</t>
  </si>
  <si>
    <t>AOYVKP@free.fr</t>
  </si>
  <si>
    <t>Kshitij</t>
  </si>
  <si>
    <t>Iokua</t>
  </si>
  <si>
    <t>19 SAINT PHILIPPE (Rue)</t>
  </si>
  <si>
    <t>UBTWTX@gmail.com</t>
  </si>
  <si>
    <t>Bálint</t>
  </si>
  <si>
    <t>Matilda</t>
  </si>
  <si>
    <t>46 PONT QUI TREMBLE (Rue du)</t>
  </si>
  <si>
    <t>QUYBSS@hotmail.fr</t>
  </si>
  <si>
    <t>Haruko</t>
  </si>
  <si>
    <t>Damon</t>
  </si>
  <si>
    <t>11 BERT (Rue Paul)</t>
  </si>
  <si>
    <t>FQVYJR@free.fr</t>
  </si>
  <si>
    <t>Apolinar</t>
  </si>
  <si>
    <t>Shelia</t>
  </si>
  <si>
    <t>25 BRIGANTIN (Allée du)</t>
  </si>
  <si>
    <t>VBDAXC@wanadoo.fr</t>
  </si>
  <si>
    <t>Christoph</t>
  </si>
  <si>
    <t>Cleisthenes</t>
  </si>
  <si>
    <t>49 COTTERET (Rue des Frères)</t>
  </si>
  <si>
    <t>BXVPHI@hotmail.fr</t>
  </si>
  <si>
    <t>Awotwi</t>
  </si>
  <si>
    <t>Milogost</t>
  </si>
  <si>
    <t>16 DAGNET (Rue Amand)</t>
  </si>
  <si>
    <t>YGOCUN@free.fr</t>
  </si>
  <si>
    <t>Shaquille</t>
  </si>
  <si>
    <t>30 MARECHAL LECLERC (Place du)</t>
  </si>
  <si>
    <t>XVFNEH@wanadoo.fr</t>
  </si>
  <si>
    <t>Drake</t>
  </si>
  <si>
    <t>25 BAJOYER (Quai)</t>
  </si>
  <si>
    <t>VJHIGR@hotmail.fr</t>
  </si>
  <si>
    <t>Özlem</t>
  </si>
  <si>
    <t>Fleuretta</t>
  </si>
  <si>
    <t>9 POREE (Rue Alain)</t>
  </si>
  <si>
    <t>JAZIWO@hotmail.fr</t>
  </si>
  <si>
    <t>Baqir</t>
  </si>
  <si>
    <t>15 CINEMA (Impasse du)</t>
  </si>
  <si>
    <t>DCWKBS@gmail.com</t>
  </si>
  <si>
    <t>Shahpur</t>
  </si>
  <si>
    <t>Kaylin</t>
  </si>
  <si>
    <t>29 SAINT EXUPERY (Rue Antoine de)</t>
  </si>
  <si>
    <t>YBUWIK@wanadoo.fr</t>
  </si>
  <si>
    <t>Janna</t>
  </si>
  <si>
    <t>Muirín</t>
  </si>
  <si>
    <t>11 SAINT THOMAS (Esplanade)</t>
  </si>
  <si>
    <t>UTLCWV@wanadoo.fr</t>
  </si>
  <si>
    <t>Bente</t>
  </si>
  <si>
    <t>Cosmin</t>
  </si>
  <si>
    <t>7 CANADA (Place du)</t>
  </si>
  <si>
    <t>JDQIOS@gmail.com</t>
  </si>
  <si>
    <t>Kakalina</t>
  </si>
  <si>
    <t>Matty</t>
  </si>
  <si>
    <t>14 DEROULEDE (Avenue Paul)</t>
  </si>
  <si>
    <t>PEZXBX@orange.fr</t>
  </si>
  <si>
    <t>Ramsay</t>
  </si>
  <si>
    <t>Zebadiah</t>
  </si>
  <si>
    <t>WGCNNB@gmail.com</t>
  </si>
  <si>
    <t>Abby</t>
  </si>
  <si>
    <t>Ziyad</t>
  </si>
  <si>
    <t>46 FEVAL (Rue Paul)</t>
  </si>
  <si>
    <t>MSAQKL@gmail.com</t>
  </si>
  <si>
    <t>Jobeth</t>
  </si>
  <si>
    <t>Maarten</t>
  </si>
  <si>
    <t>25 PETITS BOIS (Rue des)</t>
  </si>
  <si>
    <t>VCMCBX@orange.fr</t>
  </si>
  <si>
    <t>Midas</t>
  </si>
  <si>
    <t>Missie</t>
  </si>
  <si>
    <t>10 TOUR D'AUVERGNE (Boulevard de la)</t>
  </si>
  <si>
    <t>TCMEPC@gmail.com</t>
  </si>
  <si>
    <t>Juana</t>
  </si>
  <si>
    <t>20 BOURNAZEL (Avenue de)</t>
  </si>
  <si>
    <t>TFDTZB@orange.fr</t>
  </si>
  <si>
    <t>Ermenegildo</t>
  </si>
  <si>
    <t>Brenda</t>
  </si>
  <si>
    <t>5 GODEST (Rue René)</t>
  </si>
  <si>
    <t>MZJHRC@wanadoo.fr</t>
  </si>
  <si>
    <t>Proserpine</t>
  </si>
  <si>
    <t>Gamil</t>
  </si>
  <si>
    <t>43 FLOURIE (Place de la)</t>
  </si>
  <si>
    <t>BJSFWZ@free.fr</t>
  </si>
  <si>
    <t>Heinrich</t>
  </si>
  <si>
    <t>Aurore</t>
  </si>
  <si>
    <t>17 COMMANDANT DUBOSQ (Rue du)</t>
  </si>
  <si>
    <t>OPFCJE@orange.fr</t>
  </si>
  <si>
    <t>Amadeo</t>
  </si>
  <si>
    <t>Zipporah</t>
  </si>
  <si>
    <t>10 ASTROLABE (Rue de l')</t>
  </si>
  <si>
    <t>USPYSN@wanadoo.fr</t>
  </si>
  <si>
    <t>Ciel</t>
  </si>
  <si>
    <t>Shaelyn</t>
  </si>
  <si>
    <t>40 LOUISIANE (Jardin de la)</t>
  </si>
  <si>
    <t>HKETJM@wanadoo.fr</t>
  </si>
  <si>
    <t>Alexej</t>
  </si>
  <si>
    <t>22 MOTTAIS (Rue du)</t>
  </si>
  <si>
    <t>EUXMBH@gmail.com</t>
  </si>
  <si>
    <t>Robin</t>
  </si>
  <si>
    <t>Xenophon</t>
  </si>
  <si>
    <t>30 JOUANJAN (Rue)</t>
  </si>
  <si>
    <t>HGYFBK@orange.fr</t>
  </si>
  <si>
    <t>Renard</t>
  </si>
  <si>
    <t>Jep</t>
  </si>
  <si>
    <t>15 DORADE (Rue de la)</t>
  </si>
  <si>
    <t>KKHPIS@gmail.com</t>
  </si>
  <si>
    <t>Mercy</t>
  </si>
  <si>
    <t>45 PATELLES (Rue des)</t>
  </si>
  <si>
    <t>JYFQLU@free.fr</t>
  </si>
  <si>
    <t>Indy</t>
  </si>
  <si>
    <t>Bernd</t>
  </si>
  <si>
    <t>4 RIVIERE (Cour)</t>
  </si>
  <si>
    <t>GRUZAI@free.fr</t>
  </si>
  <si>
    <t>Eilís</t>
  </si>
  <si>
    <t>Dacre</t>
  </si>
  <si>
    <t>6 TROIS JOURNAUX (Rue des)</t>
  </si>
  <si>
    <t>CGNCNX@orange.fr</t>
  </si>
  <si>
    <t>Barb</t>
  </si>
  <si>
    <t>Kunigunde</t>
  </si>
  <si>
    <t>4 MARAIS (Rue Elie)</t>
  </si>
  <si>
    <t>LRYZIK@hotmail.fr</t>
  </si>
  <si>
    <t>Marajha</t>
  </si>
  <si>
    <t>Romulus</t>
  </si>
  <si>
    <t>19 MAILLARD (Rue Ella)</t>
  </si>
  <si>
    <t>GKBRCG@gmail.com</t>
  </si>
  <si>
    <t>Bridget</t>
  </si>
  <si>
    <t>Sofiya</t>
  </si>
  <si>
    <t>6 GRANDE HERMINE (Place de la)</t>
  </si>
  <si>
    <t>BMSVBV@orange.fr</t>
  </si>
  <si>
    <t>Akamu</t>
  </si>
  <si>
    <t>Leocadia</t>
  </si>
  <si>
    <t>47 QUEBEC (Avenue de)</t>
  </si>
  <si>
    <t>GDYHDX@hotmail.fr</t>
  </si>
  <si>
    <t>Avedis</t>
  </si>
  <si>
    <t>Donatienne</t>
  </si>
  <si>
    <t>25 GRANDE HERMINE (Rue de la)</t>
  </si>
  <si>
    <t>CRZABE@wanadoo.fr</t>
  </si>
  <si>
    <t>Shichiro</t>
  </si>
  <si>
    <t>Hoyt</t>
  </si>
  <si>
    <t>30 DURAND (Rue Mathieu)</t>
  </si>
  <si>
    <t>CYNWSG@orange.fr</t>
  </si>
  <si>
    <t>Iikka</t>
  </si>
  <si>
    <t>16 DIXMUDE (Rue de)</t>
  </si>
  <si>
    <t>GPANUD@hotmail.fr</t>
  </si>
  <si>
    <t>Montague</t>
  </si>
  <si>
    <t>Agafya</t>
  </si>
  <si>
    <t>12 HIPPOCAMPE (Impasse de l')</t>
  </si>
  <si>
    <t>JRUSZL@hotmail.fr</t>
  </si>
  <si>
    <t>Philomena</t>
  </si>
  <si>
    <t>Philis</t>
  </si>
  <si>
    <t>33 CAP HORN (Passage du)</t>
  </si>
  <si>
    <t>QJPKCC@wanadoo.fr</t>
  </si>
  <si>
    <t>Shprintzel</t>
  </si>
  <si>
    <t>Tadeu</t>
  </si>
  <si>
    <t>13 JOUANJAN (Rue)</t>
  </si>
  <si>
    <t>KCZBBS@wanadoo.fr</t>
  </si>
  <si>
    <t>Jeetendra</t>
  </si>
  <si>
    <t>Elvin</t>
  </si>
  <si>
    <t>5 GEMEAUX (Rue des)</t>
  </si>
  <si>
    <t>ISLJCM@free.fr</t>
  </si>
  <si>
    <t>Terra</t>
  </si>
  <si>
    <t>7 PER JAKEZ HELIAS (Rue)</t>
  </si>
  <si>
    <t>WSVBYT@free.fr</t>
  </si>
  <si>
    <t>Duygu</t>
  </si>
  <si>
    <t>Garth</t>
  </si>
  <si>
    <t>30 LA CHAMBRE (Place Guy)</t>
  </si>
  <si>
    <t>LTPCAD@orange.fr</t>
  </si>
  <si>
    <t>Pipra</t>
  </si>
  <si>
    <t>Franciscus</t>
  </si>
  <si>
    <t>48 RESISTANCE (Enclos de la)</t>
  </si>
  <si>
    <t>CHXUKM@hotmail.fr</t>
  </si>
  <si>
    <t>Arienne</t>
  </si>
  <si>
    <t>Ixchel</t>
  </si>
  <si>
    <t>21 DE LA BARDELIERE (Rue Michel)</t>
  </si>
  <si>
    <t>ZRUFHM@orange.fr</t>
  </si>
  <si>
    <t>Padmavati</t>
  </si>
  <si>
    <t>Jericho</t>
  </si>
  <si>
    <t>41 POREE (Rue Alain)</t>
  </si>
  <si>
    <t>NTRCZK@gmail.com</t>
  </si>
  <si>
    <t>Yaa</t>
  </si>
  <si>
    <t>Sandro</t>
  </si>
  <si>
    <t>47 PEPINIERE (Impasse de la)</t>
  </si>
  <si>
    <t>KFLSJV@hotmail.fr</t>
  </si>
  <si>
    <t>Madisyn</t>
  </si>
  <si>
    <t>Alyx</t>
  </si>
  <si>
    <t>22 METTRIE (Rue de la)</t>
  </si>
  <si>
    <t>OQRMZR@free.fr</t>
  </si>
  <si>
    <t>Dana (2)</t>
  </si>
  <si>
    <t>Orrell</t>
  </si>
  <si>
    <t>1 EXCELSIOR (Avenue)</t>
  </si>
  <si>
    <t>GHSOHS@hotmail.fr</t>
  </si>
  <si>
    <t>Ingmar</t>
  </si>
  <si>
    <t>Kimberly</t>
  </si>
  <si>
    <t>1 LIERRES (Rue des)</t>
  </si>
  <si>
    <t>SEEHWQ@gmail.com</t>
  </si>
  <si>
    <t>Kailyn</t>
  </si>
  <si>
    <t>Joselyn</t>
  </si>
  <si>
    <t>43 ARABIE (Rue de l')</t>
  </si>
  <si>
    <t>AWYAVC@orange.fr</t>
  </si>
  <si>
    <t>Cairbre</t>
  </si>
  <si>
    <t>Mihai</t>
  </si>
  <si>
    <t>39 SPHINX (Allée du)</t>
  </si>
  <si>
    <t>TRHJGI@free.fr</t>
  </si>
  <si>
    <t>Feodor</t>
  </si>
  <si>
    <t>Selby</t>
  </si>
  <si>
    <t>14 ACHILLE (Rue de l')</t>
  </si>
  <si>
    <t>IVZOBO@wanadoo.fr</t>
  </si>
  <si>
    <t>Akua</t>
  </si>
  <si>
    <t>Estavan</t>
  </si>
  <si>
    <t>11 VILLE COLLET (Cour)</t>
  </si>
  <si>
    <t>VCWYNZ@gmail.com</t>
  </si>
  <si>
    <t>Stavros</t>
  </si>
  <si>
    <t>Gopal</t>
  </si>
  <si>
    <t>44 HEBERT (Impasse)</t>
  </si>
  <si>
    <t>NQHEQD@hotmail.fr</t>
  </si>
  <si>
    <t>Gianmaria</t>
  </si>
  <si>
    <t>Alfons</t>
  </si>
  <si>
    <t>44 CORDERIE (Chemin de la)</t>
  </si>
  <si>
    <t>JBZGEI@wanadoo.fr</t>
  </si>
  <si>
    <t>Gershom</t>
  </si>
  <si>
    <t>Bernie</t>
  </si>
  <si>
    <t>43 BONNEVILLE (Rue de)</t>
  </si>
  <si>
    <t>YJOFJY@wanadoo.fr</t>
  </si>
  <si>
    <t>Xochipilli</t>
  </si>
  <si>
    <t>Attilio</t>
  </si>
  <si>
    <t>15 PARC (Rue du)</t>
  </si>
  <si>
    <t>JPJAMO@wanadoo.fr</t>
  </si>
  <si>
    <t>Désirée</t>
  </si>
  <si>
    <t>Fionnghuala</t>
  </si>
  <si>
    <t>9 MONTREAL (Avenue de)</t>
  </si>
  <si>
    <t>WMOVEW@orange.fr</t>
  </si>
  <si>
    <t>Rosina</t>
  </si>
  <si>
    <t>Jorck</t>
  </si>
  <si>
    <t>33 CHOPIER (Rue Louis)</t>
  </si>
  <si>
    <t>OBPLPO@free.fr</t>
  </si>
  <si>
    <t>Meinhard</t>
  </si>
  <si>
    <t>Scarlett</t>
  </si>
  <si>
    <t>46 FOLIGNE (Rue André)</t>
  </si>
  <si>
    <t>EZISJP@orange.fr</t>
  </si>
  <si>
    <t>Robbie</t>
  </si>
  <si>
    <t>Hoa</t>
  </si>
  <si>
    <t>16 GRILLE (Escalier de la)</t>
  </si>
  <si>
    <t>QSMESD@orange.fr</t>
  </si>
  <si>
    <t>Kip</t>
  </si>
  <si>
    <t>Lachina</t>
  </si>
  <si>
    <t>35 VAU GARNI (Chemin du)</t>
  </si>
  <si>
    <t>NJTQTX@wanadoo.fr</t>
  </si>
  <si>
    <t>Lula</t>
  </si>
  <si>
    <t>Art</t>
  </si>
  <si>
    <t>40 ARROMANCHES (Rue d')</t>
  </si>
  <si>
    <t>DRVGCN@free.fr</t>
  </si>
  <si>
    <t>Meadow</t>
  </si>
  <si>
    <t>Cleto</t>
  </si>
  <si>
    <t>20 CROIX AU FEVRE (Rue de la )</t>
  </si>
  <si>
    <t>LKIUAG@gmail.com</t>
  </si>
  <si>
    <t>Briar</t>
  </si>
  <si>
    <t>Naum</t>
  </si>
  <si>
    <t>25 ESPERANCE (Impasse de l')</t>
  </si>
  <si>
    <t>QXHITD@free.fr</t>
  </si>
  <si>
    <t>Jameel</t>
  </si>
  <si>
    <t>Miska</t>
  </si>
  <si>
    <t>7 BOIS AURANT (rue du)</t>
  </si>
  <si>
    <t>VNHOLF@free.fr</t>
  </si>
  <si>
    <t>Eliseo</t>
  </si>
  <si>
    <t>Trecia</t>
  </si>
  <si>
    <t>7 COUDRIERS (Rue des)</t>
  </si>
  <si>
    <t>FGKENP@gmail.com</t>
  </si>
  <si>
    <t>Tristão</t>
  </si>
  <si>
    <t>32 GOUAZON (Boulevard)</t>
  </si>
  <si>
    <t>ZOTJRM@hotmail.fr</t>
  </si>
  <si>
    <t>Hanaa</t>
  </si>
  <si>
    <t>Modestine</t>
  </si>
  <si>
    <t>26 CONNETABLE (Rue du)</t>
  </si>
  <si>
    <t>HWOBNU@orange.fr</t>
  </si>
  <si>
    <t>22 PETITE BARONNIE ( Impasse)</t>
  </si>
  <si>
    <t>TCTXTL@wanadoo.fr</t>
  </si>
  <si>
    <t>Idowu</t>
  </si>
  <si>
    <t>Raschelle</t>
  </si>
  <si>
    <t>48 GRAND VERGER (Rue du)</t>
  </si>
  <si>
    <t>PQJXDR@gmail.com</t>
  </si>
  <si>
    <t>Raquel</t>
  </si>
  <si>
    <t>37 IFS (Chemin des)</t>
  </si>
  <si>
    <t>TIDGKS@hotmail.fr</t>
  </si>
  <si>
    <t>Tristán</t>
  </si>
  <si>
    <t>Laban</t>
  </si>
  <si>
    <t>2 MENETRIERS (Rue des)</t>
  </si>
  <si>
    <t>JNUVWN@wanadoo.fr</t>
  </si>
  <si>
    <t>Juliana</t>
  </si>
  <si>
    <t>Vicki</t>
  </si>
  <si>
    <t>30 DALI (Rue Salvador)</t>
  </si>
  <si>
    <t>VRUWYJ@gmail.com</t>
  </si>
  <si>
    <t>Tovia</t>
  </si>
  <si>
    <t>8 JUPITER (Rue de)</t>
  </si>
  <si>
    <t>SMJPSI@hotmail.fr</t>
  </si>
  <si>
    <t>Rusty</t>
  </si>
  <si>
    <t>Meinir</t>
  </si>
  <si>
    <t>37 VARDE (Avenue de la)</t>
  </si>
  <si>
    <t>TGZAQC@wanadoo.fr</t>
  </si>
  <si>
    <t>Mikelo</t>
  </si>
  <si>
    <t>Feidhelm</t>
  </si>
  <si>
    <t>25 VARDE (Avenue de la)</t>
  </si>
  <si>
    <t>RBHHES@free.fr</t>
  </si>
  <si>
    <t>Agneta</t>
  </si>
  <si>
    <t>Ouranos</t>
  </si>
  <si>
    <t>8 GUYMAUVIERE (Rue de la)</t>
  </si>
  <si>
    <t>JVJNDA@gmail.com</t>
  </si>
  <si>
    <t>Evpraksiya</t>
  </si>
  <si>
    <t>Jörgen</t>
  </si>
  <si>
    <t>30 DE LA CONDAMINE (Impasse)</t>
  </si>
  <si>
    <t>ZSXSEY@wanadoo.fr</t>
  </si>
  <si>
    <t>Bertrand</t>
  </si>
  <si>
    <t>40 TRIEUX (Square du)</t>
  </si>
  <si>
    <t>TSXQFS@wanadoo.fr</t>
  </si>
  <si>
    <t>Cecil</t>
  </si>
  <si>
    <t>Ib</t>
  </si>
  <si>
    <t>34 MERISIERS (Rue des)</t>
  </si>
  <si>
    <t>HHGYAE@gmail.com</t>
  </si>
  <si>
    <t>Deja</t>
  </si>
  <si>
    <t>Edsel</t>
  </si>
  <si>
    <t>17 ROSEAUX (Passage des)</t>
  </si>
  <si>
    <t>LLBVNF@gmail.com</t>
  </si>
  <si>
    <t>Chizoba</t>
  </si>
  <si>
    <t>Desislava</t>
  </si>
  <si>
    <t>26 COLONEL DEMOLINS (Boulevard du)</t>
  </si>
  <si>
    <t>QLOWEO@free.fr</t>
  </si>
  <si>
    <t>Mitchell</t>
  </si>
  <si>
    <t>15 MACLAW (Rue)</t>
  </si>
  <si>
    <t>RWCCGV@orange.fr</t>
  </si>
  <si>
    <t>Nestor</t>
  </si>
  <si>
    <t>Dosia</t>
  </si>
  <si>
    <t>36 CONSTANTINE (Rue)</t>
  </si>
  <si>
    <t>DRSHMN@orange.fr</t>
  </si>
  <si>
    <t>Theodoros</t>
  </si>
  <si>
    <t>Amal</t>
  </si>
  <si>
    <t>35 GARANGEAU (Rue)</t>
  </si>
  <si>
    <t>ILZOPQ@orange.fr</t>
  </si>
  <si>
    <t>Gordon</t>
  </si>
  <si>
    <t>Eugênio</t>
  </si>
  <si>
    <t>15 PLESSIS (Rue du)</t>
  </si>
  <si>
    <t>RDZZPT@wanadoo.fr</t>
  </si>
  <si>
    <t>Peterkin</t>
  </si>
  <si>
    <t>Vern</t>
  </si>
  <si>
    <t>39 LEVANT (Rue du)</t>
  </si>
  <si>
    <t>IPSFBM@orange.fr</t>
  </si>
  <si>
    <t>Afanen</t>
  </si>
  <si>
    <t>Kezia</t>
  </si>
  <si>
    <t>13 HIPPOCAMPE (Impasse de l')</t>
  </si>
  <si>
    <t>BDEKXA@gmail.com</t>
  </si>
  <si>
    <t>Matryona</t>
  </si>
  <si>
    <t>45 DECOUVERTE (Cour de la)</t>
  </si>
  <si>
    <t>ECOYVE@wanadoo.fr</t>
  </si>
  <si>
    <t>Prissy</t>
  </si>
  <si>
    <t>Fíona</t>
  </si>
  <si>
    <t>37 PENTHIEVRE (Square de)</t>
  </si>
  <si>
    <t>NMLHZL@gmail.com</t>
  </si>
  <si>
    <t>Minna</t>
  </si>
  <si>
    <t>Menes</t>
  </si>
  <si>
    <t>7 SAULAIE  (Rue de la)</t>
  </si>
  <si>
    <t>DEPDJJ@free.fr</t>
  </si>
  <si>
    <t>Cuc</t>
  </si>
  <si>
    <t>23 CHATEAUBRIAND (Place)</t>
  </si>
  <si>
    <t>EJRFBM@wanadoo.fr</t>
  </si>
  <si>
    <t>Imre</t>
  </si>
  <si>
    <t>31 AUBEPINE (Rue de l')</t>
  </si>
  <si>
    <t>LJJFBT@wanadoo.fr</t>
  </si>
  <si>
    <t>Barbra</t>
  </si>
  <si>
    <t>27 BASSE FLOURIE (Chemin de la)</t>
  </si>
  <si>
    <t>RPLHUB@wanadoo.fr</t>
  </si>
  <si>
    <t>Rafa</t>
  </si>
  <si>
    <t>Karen</t>
  </si>
  <si>
    <t>31 GOELAND (Rue du)</t>
  </si>
  <si>
    <t>YEITEB@orange.fr</t>
  </si>
  <si>
    <t>Yachna</t>
  </si>
  <si>
    <t>Lorenz</t>
  </si>
  <si>
    <t>27 SOLIDOR (Quai)</t>
  </si>
  <si>
    <t>XJHIJO@free.fr</t>
  </si>
  <si>
    <t>Totty</t>
  </si>
  <si>
    <t>Cynefrið</t>
  </si>
  <si>
    <t>44 BOIS JOLI (Passage du)</t>
  </si>
  <si>
    <t>JLCBAN@wanadoo.fr</t>
  </si>
  <si>
    <t>Masood</t>
  </si>
  <si>
    <t>Cheyanne</t>
  </si>
  <si>
    <t>7 CEZANNE (Rue Paul)</t>
  </si>
  <si>
    <t>YEISRQ@gmail.com</t>
  </si>
  <si>
    <t>Giustina</t>
  </si>
  <si>
    <t>Amara</t>
  </si>
  <si>
    <t>5 BON VENT (Impasse du)</t>
  </si>
  <si>
    <t>BHMMKB@orange.fr</t>
  </si>
  <si>
    <t>Piet</t>
  </si>
  <si>
    <t>Lydia</t>
  </si>
  <si>
    <t>22 CLOS POUCET (Rue du)</t>
  </si>
  <si>
    <t>CDKEGH@hotmail.fr</t>
  </si>
  <si>
    <t>Asaph</t>
  </si>
  <si>
    <t>Susanita</t>
  </si>
  <si>
    <t>14 SERRES (Chemin des)</t>
  </si>
  <si>
    <t>QMALEY@gmail.com</t>
  </si>
  <si>
    <t>Dores</t>
  </si>
  <si>
    <t>Dragan</t>
  </si>
  <si>
    <t>3 COUDRAY (Place Georges)</t>
  </si>
  <si>
    <t>XNIQJM@wanadoo.fr</t>
  </si>
  <si>
    <t>Jytte</t>
  </si>
  <si>
    <t>Stellan</t>
  </si>
  <si>
    <t>12 MANET (Rue)</t>
  </si>
  <si>
    <t>FTJLSL@wanadoo.fr</t>
  </si>
  <si>
    <t>Asenath</t>
  </si>
  <si>
    <t>Angela</t>
  </si>
  <si>
    <t>8 GAUGUIN (Rue Paul)</t>
  </si>
  <si>
    <t>LZBELA@orange.fr</t>
  </si>
  <si>
    <t>Gruffud</t>
  </si>
  <si>
    <t>Chantel</t>
  </si>
  <si>
    <t>41 DOCTEUR GUIOT (Impasse du)</t>
  </si>
  <si>
    <t>IYDBKZ@gmail.com</t>
  </si>
  <si>
    <t>Stylianos</t>
  </si>
  <si>
    <t>Aminda</t>
  </si>
  <si>
    <t>27 PORCARO (Allée des dames de)</t>
  </si>
  <si>
    <t>MLKWTR@wanadoo.fr</t>
  </si>
  <si>
    <t>Aeronwen</t>
  </si>
  <si>
    <t>Antti</t>
  </si>
  <si>
    <t>34 VARANGOT (Rue)</t>
  </si>
  <si>
    <t>YWYQUB@free.fr</t>
  </si>
  <si>
    <t>Laia</t>
  </si>
  <si>
    <t>Piety</t>
  </si>
  <si>
    <t>5 GENERAL DE CASTELNAU (Rue du)</t>
  </si>
  <si>
    <t>JTRHPM@wanadoo.fr</t>
  </si>
  <si>
    <t>Lachie</t>
  </si>
  <si>
    <t>Gobnait</t>
  </si>
  <si>
    <t>19 SAUT DE LOUP (Rue du)</t>
  </si>
  <si>
    <t>KFUZDP@gmail.com</t>
  </si>
  <si>
    <t>Rina</t>
  </si>
  <si>
    <t>Heiner</t>
  </si>
  <si>
    <t>18 BOLTZ (Rue René)</t>
  </si>
  <si>
    <t>WXBUGY@hotmail.fr</t>
  </si>
  <si>
    <t>Prudence</t>
  </si>
  <si>
    <t>Trix</t>
  </si>
  <si>
    <t>23 FORGEURS (Rue des)</t>
  </si>
  <si>
    <t>LITDCD@wanadoo.fr</t>
  </si>
  <si>
    <t>Coline</t>
  </si>
  <si>
    <t>Newt</t>
  </si>
  <si>
    <t>24 GRANDE COTIERE (Impasse de la)</t>
  </si>
  <si>
    <t>MXHZUY@gmail.com</t>
  </si>
  <si>
    <t>Jathbiyya</t>
  </si>
  <si>
    <t>Guy</t>
  </si>
  <si>
    <t>20 BAZILLE (Rue Frédéric)</t>
  </si>
  <si>
    <t>JSMYGS@hotmail.fr</t>
  </si>
  <si>
    <t>Mitxel</t>
  </si>
  <si>
    <t>Nomusa</t>
  </si>
  <si>
    <t>18 LYS (Rue du)</t>
  </si>
  <si>
    <t>NITZJX@gmail.com</t>
  </si>
  <si>
    <t>Ezar</t>
  </si>
  <si>
    <t>Kázmér</t>
  </si>
  <si>
    <t>15 HUS (Rue Jean)</t>
  </si>
  <si>
    <t>KMJRUQ@hotmail.fr</t>
  </si>
  <si>
    <t>Edwena</t>
  </si>
  <si>
    <t>Trafford</t>
  </si>
  <si>
    <t>44 ROC AUX DOGUES (Impasse du)</t>
  </si>
  <si>
    <t>FAGWBY@orange.fr</t>
  </si>
  <si>
    <t>Oberon</t>
  </si>
  <si>
    <t>Lupita</t>
  </si>
  <si>
    <t>14 BROUASSIN (Rue)</t>
  </si>
  <si>
    <t>EUWTDT@wanadoo.fr</t>
  </si>
  <si>
    <t>Govannon</t>
  </si>
  <si>
    <t>Kathie</t>
  </si>
  <si>
    <t>34 ALCYON (Rue de l')</t>
  </si>
  <si>
    <t>MVFZND@wanadoo.fr</t>
  </si>
  <si>
    <t>Kekepania</t>
  </si>
  <si>
    <t>Gualtiero</t>
  </si>
  <si>
    <t>48 REVENANT (Rue du)</t>
  </si>
  <si>
    <t>ZVJNPI@wanadoo.fr</t>
  </si>
  <si>
    <t>Bernardino</t>
  </si>
  <si>
    <t>Munroe</t>
  </si>
  <si>
    <t>33 QUEBEC (Place du)</t>
  </si>
  <si>
    <t>GQNMWU@hotmail.fr</t>
  </si>
  <si>
    <t>Hadewych</t>
  </si>
  <si>
    <t>Petros</t>
  </si>
  <si>
    <t>40 FOUERE (Rue Jules)</t>
  </si>
  <si>
    <t>YAFIWD@hotmail.fr</t>
  </si>
  <si>
    <t>Davie</t>
  </si>
  <si>
    <t>Ianthe</t>
  </si>
  <si>
    <t>6 COMMANDANT BOURDAIS (Passage du)</t>
  </si>
  <si>
    <t>ZRSEDI@free.fr</t>
  </si>
  <si>
    <t>Chanel</t>
  </si>
  <si>
    <t>Jérôme</t>
  </si>
  <si>
    <t>50 EOLE (Impasse d')</t>
  </si>
  <si>
    <t>GHNWJN@hotmail.fr</t>
  </si>
  <si>
    <t>Hikmat</t>
  </si>
  <si>
    <t>Erick</t>
  </si>
  <si>
    <t>2 DESIRADE (Rue de la)</t>
  </si>
  <si>
    <t>OJIVUO@free.fr</t>
  </si>
  <si>
    <t>Kyla</t>
  </si>
  <si>
    <t>Fayvel</t>
  </si>
  <si>
    <t>23 HURE (Place de la)</t>
  </si>
  <si>
    <t>IOLXRV@gmail.com</t>
  </si>
  <si>
    <t>Chenda</t>
  </si>
  <si>
    <t>12 DEJAN (Rue René)</t>
  </si>
  <si>
    <t>UVXCNM@wanadoo.fr</t>
  </si>
  <si>
    <t>Cornélio</t>
  </si>
  <si>
    <t>Liesl</t>
  </si>
  <si>
    <t>38 ROCHEBONNE (Digue de)</t>
  </si>
  <si>
    <t>CGBECA@wanadoo.fr</t>
  </si>
  <si>
    <t>Matej</t>
  </si>
  <si>
    <t>30 TOULLIER (Rue)</t>
  </si>
  <si>
    <t>ZPXJZO@gmail.com</t>
  </si>
  <si>
    <t>Marcelle</t>
  </si>
  <si>
    <t>Suniti</t>
  </si>
  <si>
    <t>12 SAINT PIERRE (Place)</t>
  </si>
  <si>
    <t>KCGVNB@orange.fr</t>
  </si>
  <si>
    <t>Alfonso</t>
  </si>
  <si>
    <t>Dorean</t>
  </si>
  <si>
    <t>19 GOELAND (Impasse du)</t>
  </si>
  <si>
    <t>YWJAEO@wanadoo.fr</t>
  </si>
  <si>
    <t>Gail</t>
  </si>
  <si>
    <t>Torin</t>
  </si>
  <si>
    <t>20 DUGUESCLIN (Place)</t>
  </si>
  <si>
    <t>LMROOV@free.fr</t>
  </si>
  <si>
    <t>Alain</t>
  </si>
  <si>
    <t>Rozanne</t>
  </si>
  <si>
    <t>47 ROCHER (Rue du)</t>
  </si>
  <si>
    <t>XBKXML@hotmail.fr</t>
  </si>
  <si>
    <t>Sammie</t>
  </si>
  <si>
    <t>20 DE VINCI (Rue Léonard)</t>
  </si>
  <si>
    <t>ILKACD@free.fr</t>
  </si>
  <si>
    <t>Tuulikki</t>
  </si>
  <si>
    <t>Tresha</t>
  </si>
  <si>
    <t>2 FRESNEL (Impasse Augustin)</t>
  </si>
  <si>
    <t>GYCCND@hotmail.fr</t>
  </si>
  <si>
    <t>Maud</t>
  </si>
  <si>
    <t>Thales</t>
  </si>
  <si>
    <t>47 PICPUS (Jardin de)</t>
  </si>
  <si>
    <t>MTKQPQ@wanadoo.fr</t>
  </si>
  <si>
    <t>Gladwin</t>
  </si>
  <si>
    <t>Elsdon</t>
  </si>
  <si>
    <t>37 ENCLOS DU MOULIN (Rue de l')</t>
  </si>
  <si>
    <t>ZTZOJT@wanadoo.fr</t>
  </si>
  <si>
    <t>Jacquetta</t>
  </si>
  <si>
    <t>Chandana</t>
  </si>
  <si>
    <t>10 TAMARIS (Rue des)</t>
  </si>
  <si>
    <t>ESNWJH@wanadoo.fr</t>
  </si>
  <si>
    <t>Dáire</t>
  </si>
  <si>
    <t>Dougal</t>
  </si>
  <si>
    <t>22 ENCLOS DU VERGER (Rue de l')</t>
  </si>
  <si>
    <t>VQCSYB@hotmail.fr</t>
  </si>
  <si>
    <t>Ilbert</t>
  </si>
  <si>
    <t>Marek</t>
  </si>
  <si>
    <t>47 CHAPELLE (Rue de la)</t>
  </si>
  <si>
    <t>LJJIGH@wanadoo.fr</t>
  </si>
  <si>
    <t>Tatienne</t>
  </si>
  <si>
    <t>Artemis</t>
  </si>
  <si>
    <t>19 BANQUEREAU (impasse du)</t>
  </si>
  <si>
    <t>PBIKWJ@hotmail.fr</t>
  </si>
  <si>
    <t>Éloise</t>
  </si>
  <si>
    <t>Charna</t>
  </si>
  <si>
    <t>11 ARTILLEURS (Rue des)</t>
  </si>
  <si>
    <t>RKSBGY@wanadoo.fr</t>
  </si>
  <si>
    <t>Eloisa</t>
  </si>
  <si>
    <t>Ninel</t>
  </si>
  <si>
    <t>5 MOKA (Avenue de)</t>
  </si>
  <si>
    <t>VUOXNC@gmail.com</t>
  </si>
  <si>
    <t>Kishori</t>
  </si>
  <si>
    <t>Gervais</t>
  </si>
  <si>
    <t>31 MONET (Rue Claude)</t>
  </si>
  <si>
    <t>SCFKWS@free.fr</t>
  </si>
  <si>
    <t>Tracy</t>
  </si>
  <si>
    <t>Aias</t>
  </si>
  <si>
    <t>19 CHARCOT (Place)</t>
  </si>
  <si>
    <t>HRYTHE@free.fr</t>
  </si>
  <si>
    <t>Devereux</t>
  </si>
  <si>
    <t>7 POUDRIERE (Passage de la)</t>
  </si>
  <si>
    <t>KDOEGS@hotmail.fr</t>
  </si>
  <si>
    <t>Brava</t>
  </si>
  <si>
    <t>Elly</t>
  </si>
  <si>
    <t>17 GAMBETTA (Boulevard)</t>
  </si>
  <si>
    <t>JJZRJG@orange.fr</t>
  </si>
  <si>
    <t>Kunthea</t>
  </si>
  <si>
    <t>Maeve</t>
  </si>
  <si>
    <t>8 FLEURS (Rue des)</t>
  </si>
  <si>
    <t>PKOXBX@orange.fr</t>
  </si>
  <si>
    <t>Jim</t>
  </si>
  <si>
    <t>Brutus</t>
  </si>
  <si>
    <t>29 EGLISE  (Place de l')</t>
  </si>
  <si>
    <t>HOJZPK@orange.fr</t>
  </si>
  <si>
    <t>Lucie</t>
  </si>
  <si>
    <t>Chrissy</t>
  </si>
  <si>
    <t>23 CORBINIERE (Rue de la)</t>
  </si>
  <si>
    <t>HDBCWF@orange.fr</t>
  </si>
  <si>
    <t>Raleigh</t>
  </si>
  <si>
    <t>Agatha</t>
  </si>
  <si>
    <t>47 PLATIER (Impasse du)</t>
  </si>
  <si>
    <t>KIMWBC@orange.fr</t>
  </si>
  <si>
    <t>Maybelle</t>
  </si>
  <si>
    <t>6 MARCHE (Place du)</t>
  </si>
  <si>
    <t>QJAEYZ@hotmail.fr</t>
  </si>
  <si>
    <t>Blanca</t>
  </si>
  <si>
    <t>Laverne</t>
  </si>
  <si>
    <t>22 CROLANTE (Allée de la)</t>
  </si>
  <si>
    <t>WLHPBX@wanadoo.fr</t>
  </si>
  <si>
    <t>Laurent</t>
  </si>
  <si>
    <t>Davy</t>
  </si>
  <si>
    <t>3 BEAULIEU (Rue de)</t>
  </si>
  <si>
    <t>FFIOPS@orange.fr</t>
  </si>
  <si>
    <t>Apikalia</t>
  </si>
  <si>
    <t>Walenty</t>
  </si>
  <si>
    <t>1 PLESSIS (Rue du)</t>
  </si>
  <si>
    <t>QPCOSR@wanadoo.fr</t>
  </si>
  <si>
    <t>Epona</t>
  </si>
  <si>
    <t>Suraya</t>
  </si>
  <si>
    <t>47 CAPUCINES (Rue des)</t>
  </si>
  <si>
    <t>KCWCRQ@wanadoo.fr</t>
  </si>
  <si>
    <t>Prue</t>
  </si>
  <si>
    <t>Randi</t>
  </si>
  <si>
    <t>50 HOCHELAGA (Rue de)</t>
  </si>
  <si>
    <t>XRQALI@gmail.com</t>
  </si>
  <si>
    <t>Neifion</t>
  </si>
  <si>
    <t>Lexus</t>
  </si>
  <si>
    <t>45 ROUSSE (Impasse de)</t>
  </si>
  <si>
    <t>XOFRLL@wanadoo.fr</t>
  </si>
  <si>
    <t>Yewande</t>
  </si>
  <si>
    <t>Kaden</t>
  </si>
  <si>
    <t>1 SEURAT (Rue Georges)</t>
  </si>
  <si>
    <t>BZZSYE@free.fr</t>
  </si>
  <si>
    <t>Gutxi</t>
  </si>
  <si>
    <t>Cierra</t>
  </si>
  <si>
    <t>27 NATIERE (Rue de la)</t>
  </si>
  <si>
    <t>MKLVSL@free.fr</t>
  </si>
  <si>
    <t>Indra</t>
  </si>
  <si>
    <t>Ryo</t>
  </si>
  <si>
    <t>32 CORMORANS (Impasse des)</t>
  </si>
  <si>
    <t>ZJCZFR@free.fr</t>
  </si>
  <si>
    <t>Kiran</t>
  </si>
  <si>
    <t>Rica</t>
  </si>
  <si>
    <t>29 NAYE (Fort du)</t>
  </si>
  <si>
    <t>WBXFFN@orange.fr</t>
  </si>
  <si>
    <t>Tinek</t>
  </si>
  <si>
    <t>Habacuc</t>
  </si>
  <si>
    <t>11 BEAUSEJOUR (Rue)</t>
  </si>
  <si>
    <t>COTCLB@gmail.com</t>
  </si>
  <si>
    <t>Anahid</t>
  </si>
  <si>
    <t>Hartley</t>
  </si>
  <si>
    <t>40 TONNELLES (Rue des)</t>
  </si>
  <si>
    <t>GSJWFU@free.fr</t>
  </si>
  <si>
    <t>Ssanyu</t>
  </si>
  <si>
    <t>Eleutherius</t>
  </si>
  <si>
    <t>43 SAINTE MARGUERITE (Rue)</t>
  </si>
  <si>
    <t>UNARYN@wanadoo.fr</t>
  </si>
  <si>
    <t>Valdemar</t>
  </si>
  <si>
    <t>Ernõ</t>
  </si>
  <si>
    <t>3 CYPRES (Rue des)</t>
  </si>
  <si>
    <t>LLBPHK@gmail.com</t>
  </si>
  <si>
    <t>Nandag</t>
  </si>
  <si>
    <t>Hinrich</t>
  </si>
  <si>
    <t>42 ANEMONES(rue des)</t>
  </si>
  <si>
    <t>CXZDJO@wanadoo.fr</t>
  </si>
  <si>
    <t>Xene</t>
  </si>
  <si>
    <t>Trinidad</t>
  </si>
  <si>
    <t>34 COLOMB (Rue Christophe)</t>
  </si>
  <si>
    <t>FVYHOZ@free.fr</t>
  </si>
  <si>
    <t>Finola</t>
  </si>
  <si>
    <t>Dorothy</t>
  </si>
  <si>
    <t>21 MORISOT (Rue Berthe)</t>
  </si>
  <si>
    <t>BZDAXQ@gmail.com</t>
  </si>
  <si>
    <t>Hiltrud</t>
  </si>
  <si>
    <t>Leonardo</t>
  </si>
  <si>
    <t>16 PUITS SAUVAGE (Rue du )</t>
  </si>
  <si>
    <t>QZRVQO@hotmail.fr</t>
  </si>
  <si>
    <t>Alexandria</t>
  </si>
  <si>
    <t>Louise</t>
  </si>
  <si>
    <t>34 LE GUEN (Rue Emmanuel)</t>
  </si>
  <si>
    <t>LZWSME@wanadoo.fr</t>
  </si>
  <si>
    <t>Kanta</t>
  </si>
  <si>
    <t>16 GILLE (Rue Georges)</t>
  </si>
  <si>
    <t>IRPLAJ@orange.fr</t>
  </si>
  <si>
    <t>Josef</t>
  </si>
  <si>
    <t>Rupert</t>
  </si>
  <si>
    <t>10 MERCIERS (Rue des)</t>
  </si>
  <si>
    <t>ASDIZH@free.fr</t>
  </si>
  <si>
    <t>Tova</t>
  </si>
  <si>
    <t>Rosalva</t>
  </si>
  <si>
    <t>12 ABBAYE ST-JEAN (Rue)</t>
  </si>
  <si>
    <t>QPFMPC@gmail.com</t>
  </si>
  <si>
    <t>Dottie</t>
  </si>
  <si>
    <t>49 BIR HAKEIM (Impasse)</t>
  </si>
  <si>
    <t>FQBLVW@orange.fr</t>
  </si>
  <si>
    <t>Ginny</t>
  </si>
  <si>
    <t>Lorenza</t>
  </si>
  <si>
    <t>23 ANEMONES(rue des)</t>
  </si>
  <si>
    <t>BDOPOW@hotmail.fr</t>
  </si>
  <si>
    <t>Salvatore</t>
  </si>
  <si>
    <t>Zelpah</t>
  </si>
  <si>
    <t>34 LAMENNAIS (Esplanade Félicité)</t>
  </si>
  <si>
    <t>UEDXUZ@gmail.com</t>
  </si>
  <si>
    <t>Toribio</t>
  </si>
  <si>
    <t>Ayishah</t>
  </si>
  <si>
    <t>OQKUZS@wanadoo.fr</t>
  </si>
  <si>
    <t>Jóna</t>
  </si>
  <si>
    <t>14 DAHLIAS (Rue des)</t>
  </si>
  <si>
    <t>NRFMQH@free.fr</t>
  </si>
  <si>
    <t>Harland</t>
  </si>
  <si>
    <t>Christin</t>
  </si>
  <si>
    <t>20 PRUNIERS (Rue des)</t>
  </si>
  <si>
    <t>TOJSBD@wanadoo.fr</t>
  </si>
  <si>
    <t>Pollyanna</t>
  </si>
  <si>
    <t>Jarred</t>
  </si>
  <si>
    <t>21 CLOS BARON (Rue du)</t>
  </si>
  <si>
    <t>IXWJLY@orange.fr</t>
  </si>
  <si>
    <t>Dyan</t>
  </si>
  <si>
    <t>Yarden</t>
  </si>
  <si>
    <t>10 QUEBEC (Place du)</t>
  </si>
  <si>
    <t>VMPPZV@free.fr</t>
  </si>
  <si>
    <t>Sara</t>
  </si>
  <si>
    <t>Venetia</t>
  </si>
  <si>
    <t>13 DE CHATILLON (Place Jean)</t>
  </si>
  <si>
    <t>HPDUXO@wanadoo.fr</t>
  </si>
  <si>
    <t>Meical</t>
  </si>
  <si>
    <t>Caradog</t>
  </si>
  <si>
    <t>19 PONT-PINEL (Rue du)</t>
  </si>
  <si>
    <t>PVDMLP@orange.fr</t>
  </si>
  <si>
    <t>Suibhne</t>
  </si>
  <si>
    <t>Maeva</t>
  </si>
  <si>
    <t>14 GEMEAUX (Rue des)</t>
  </si>
  <si>
    <t>OOYMCZ@free.fr</t>
  </si>
  <si>
    <t>Jasmyn</t>
  </si>
  <si>
    <t>Erzsébet</t>
  </si>
  <si>
    <t>20 BOURELAIS (Impasse de la)</t>
  </si>
  <si>
    <t>EXLFCX@wanadoo.fr</t>
  </si>
  <si>
    <t>23 DUGUESCLIN (Avenue)</t>
  </si>
  <si>
    <t>PULGFT@gmail.com</t>
  </si>
  <si>
    <t>Ríona</t>
  </si>
  <si>
    <t>Miia</t>
  </si>
  <si>
    <t>38 POURPRIS (Rue du)</t>
  </si>
  <si>
    <t>LHKFMA@free.fr</t>
  </si>
  <si>
    <t>Karina</t>
  </si>
  <si>
    <t>Wiremu</t>
  </si>
  <si>
    <t>18 ANCIENS COMBATTANTS (R.P.)</t>
  </si>
  <si>
    <t>TRNFOT@hotmail.fr</t>
  </si>
  <si>
    <t>Dániel</t>
  </si>
  <si>
    <t>Krisztián</t>
  </si>
  <si>
    <t>22 NORMANDS (Rue des)</t>
  </si>
  <si>
    <t>FNAZAI@gmail.com</t>
  </si>
  <si>
    <t>Webster</t>
  </si>
  <si>
    <t>Chonsie</t>
  </si>
  <si>
    <t>37 AULNES (Rue des)</t>
  </si>
  <si>
    <t>RRQVSO@hotmail.fr</t>
  </si>
  <si>
    <t>Opal</t>
  </si>
  <si>
    <t>Netuno</t>
  </si>
  <si>
    <t>38 CHATEAUBRIAND (Boulevard)</t>
  </si>
  <si>
    <t>FTXHOR@gmail.com</t>
  </si>
  <si>
    <t>Jaqueline</t>
  </si>
  <si>
    <t>Ellen</t>
  </si>
  <si>
    <t>28 EMERILLON (Passage de l')</t>
  </si>
  <si>
    <t>DCERLY@orange.fr</t>
  </si>
  <si>
    <t>Rich</t>
  </si>
  <si>
    <t>Abd-Al-Qadir</t>
  </si>
  <si>
    <t>9 CHAMP PEGASE (Ruelle du)</t>
  </si>
  <si>
    <t>XZILOE@wanadoo.fr</t>
  </si>
  <si>
    <t>Curt</t>
  </si>
  <si>
    <t>Bláthnaid</t>
  </si>
  <si>
    <t>37 CARNOT (Rue)</t>
  </si>
  <si>
    <t>HZWFGB@wanadoo.fr</t>
  </si>
  <si>
    <t>Katherina</t>
  </si>
  <si>
    <t>10 DUPARQUIER (Rue)</t>
  </si>
  <si>
    <t>ALNFHW@orange.fr</t>
  </si>
  <si>
    <t>Byrne</t>
  </si>
  <si>
    <t>Selena</t>
  </si>
  <si>
    <t>41 CORDONNERIE (Rue de la)</t>
  </si>
  <si>
    <t>KYTDFK@orange.fr</t>
  </si>
  <si>
    <t>Bautista</t>
  </si>
  <si>
    <t>42 PLEIN SOLEIL (Allée du)</t>
  </si>
  <si>
    <t>WOLTJU@hotmail.fr</t>
  </si>
  <si>
    <t>Janene</t>
  </si>
  <si>
    <t>49 NIELLES (Avenue des)</t>
  </si>
  <si>
    <t>IXJLPN@free.fr</t>
  </si>
  <si>
    <t>Blodeuyn</t>
  </si>
  <si>
    <t>Marni</t>
  </si>
  <si>
    <t>3 BEAUFILS (Impasse Edouard)</t>
  </si>
  <si>
    <t>RTIXBK@wanadoo.fr</t>
  </si>
  <si>
    <t>Rizwan</t>
  </si>
  <si>
    <t>29 AMIRAL PROTET (Rue)</t>
  </si>
  <si>
    <t>HBFUWE@orange.fr</t>
  </si>
  <si>
    <t>Angelia</t>
  </si>
  <si>
    <t>25 BANQUEREAU (impasse du)</t>
  </si>
  <si>
    <t>PCDYXR@hotmail.fr</t>
  </si>
  <si>
    <t>Chaz</t>
  </si>
  <si>
    <t>Séafra</t>
  </si>
  <si>
    <t>33 NOIRES (Môle des)</t>
  </si>
  <si>
    <t>UPPTKV@wanadoo.fr</t>
  </si>
  <si>
    <t>Xenon</t>
  </si>
  <si>
    <t>Mabella</t>
  </si>
  <si>
    <t>31 MAURIERS (Rue des)</t>
  </si>
  <si>
    <t>ZHPCOF@hotmail.fr</t>
  </si>
  <si>
    <t>Neelam</t>
  </si>
  <si>
    <t>Tertius</t>
  </si>
  <si>
    <t>13 GODEST (Rue René)</t>
  </si>
  <si>
    <t>JRUGMZ@wanadoo.fr</t>
  </si>
  <si>
    <t>Brooke</t>
  </si>
  <si>
    <t>Lodewijk</t>
  </si>
  <si>
    <t>39 HEBERT (Rue)</t>
  </si>
  <si>
    <t>NYRADA@hotmail.fr</t>
  </si>
  <si>
    <t>Kamila</t>
  </si>
  <si>
    <t>Romey</t>
  </si>
  <si>
    <t>36 NIELLES (Avenue des)</t>
  </si>
  <si>
    <t>RSZBJD@hotmail.fr</t>
  </si>
  <si>
    <t>Caitria</t>
  </si>
  <si>
    <t>Ronny</t>
  </si>
  <si>
    <t>12 CLOS BARON (Rue du)</t>
  </si>
  <si>
    <t>ZGIWXW@free.fr</t>
  </si>
  <si>
    <t>Pryderi</t>
  </si>
  <si>
    <t>Chava</t>
  </si>
  <si>
    <t xml:space="preserve">49 BIGNON (Chemin du) </t>
  </si>
  <si>
    <t>NTAWQO@wanadoo.fr</t>
  </si>
  <si>
    <t>Harun</t>
  </si>
  <si>
    <t>Blaine</t>
  </si>
  <si>
    <t>18 FORTS (Impasse des)</t>
  </si>
  <si>
    <t>FLUKEP@free.fr</t>
  </si>
  <si>
    <t>Nahor</t>
  </si>
  <si>
    <t>11 ECHEVINS (Rue des)</t>
  </si>
  <si>
    <t>NGVHYM@hotmail.fr</t>
  </si>
  <si>
    <t>Al</t>
  </si>
  <si>
    <t>Réamann</t>
  </si>
  <si>
    <t>48 VIEUX REMPARTS (Rue des)</t>
  </si>
  <si>
    <t>AXDLZE@wanadoo.fr</t>
  </si>
  <si>
    <t>Henrike</t>
  </si>
  <si>
    <t>Aaliyah</t>
  </si>
  <si>
    <t>21 NATION (Rue de la)</t>
  </si>
  <si>
    <t>QMKVIP@free.fr</t>
  </si>
  <si>
    <t>Zita</t>
  </si>
  <si>
    <t>Vidal</t>
  </si>
  <si>
    <t>12 CHARMILLES (Rue des)</t>
  </si>
  <si>
    <t>KNFAMJ@gmail.com</t>
  </si>
  <si>
    <t>Paula</t>
  </si>
  <si>
    <t>Kausalya</t>
  </si>
  <si>
    <t>11 CORBIERE (Rue Tristan)</t>
  </si>
  <si>
    <t>DBNTLL@free.fr</t>
  </si>
  <si>
    <t>Ailbhe</t>
  </si>
  <si>
    <t>Jordana</t>
  </si>
  <si>
    <t>34 HOLLANDE (Bastion de la)</t>
  </si>
  <si>
    <t>SOHXNO@orange.fr</t>
  </si>
  <si>
    <t>Erskine</t>
  </si>
  <si>
    <t>Raja</t>
  </si>
  <si>
    <t>11 BOUGAINVILLE (Rue)</t>
  </si>
  <si>
    <t>PFQTXV@orange.fr</t>
  </si>
  <si>
    <t>Jaynie</t>
  </si>
  <si>
    <t>Ksenia</t>
  </si>
  <si>
    <t>13 NORMANDS (Rue des)</t>
  </si>
  <si>
    <t>LQDZMJ@gmail.com</t>
  </si>
  <si>
    <t>Philokrates</t>
  </si>
  <si>
    <t>Seamour</t>
  </si>
  <si>
    <t>9 VILLES ALLIS (Rue des)</t>
  </si>
  <si>
    <t>MYYPWF@hotmail.fr</t>
  </si>
  <si>
    <t>Alonzo</t>
  </si>
  <si>
    <t>Lilias</t>
  </si>
  <si>
    <t>14 MIMOSAS (Rue des)</t>
  </si>
  <si>
    <t>OVIFZK@orange.fr</t>
  </si>
  <si>
    <t>Sive</t>
  </si>
  <si>
    <t>Nicoleta</t>
  </si>
  <si>
    <t>20 JASMIN (Rue du)</t>
  </si>
  <si>
    <t>FGEQOZ@hotmail.fr</t>
  </si>
  <si>
    <t>Willis</t>
  </si>
  <si>
    <t>Leonzio</t>
  </si>
  <si>
    <t>47 POURQUOI PAS (Rue du)</t>
  </si>
  <si>
    <t>OIWJZJ@hotmail.fr</t>
  </si>
  <si>
    <t>Celyn</t>
  </si>
  <si>
    <t>Beylke</t>
  </si>
  <si>
    <t>13 FLORE (Rue de)</t>
  </si>
  <si>
    <t>QGMPDO@wanadoo.fr</t>
  </si>
  <si>
    <t>Teigue</t>
  </si>
  <si>
    <t>Faustus</t>
  </si>
  <si>
    <t>24 MARETTES (Rue des)</t>
  </si>
  <si>
    <t>TFAVDP@free.fr</t>
  </si>
  <si>
    <t>Edwina</t>
  </si>
  <si>
    <t>Thoth</t>
  </si>
  <si>
    <t>21 GOELAND (Rue du)</t>
  </si>
  <si>
    <t>PINMGX@wanadoo.fr</t>
  </si>
  <si>
    <t>Hana</t>
  </si>
  <si>
    <t>Joanne</t>
  </si>
  <si>
    <t>23 CHEVALIERS (Rue des)</t>
  </si>
  <si>
    <t>JYIMQI@free.fr</t>
  </si>
  <si>
    <t>Minako</t>
  </si>
  <si>
    <t>15 SERVANTINE (Allée de la)</t>
  </si>
  <si>
    <t>UAGXUN@free.fr</t>
  </si>
  <si>
    <t>Jacenty</t>
  </si>
  <si>
    <t>Petera</t>
  </si>
  <si>
    <t>33 PUITS SAUVAGE (Rue du )</t>
  </si>
  <si>
    <t>HEPRBD@free.fr</t>
  </si>
  <si>
    <t>Jazmine</t>
  </si>
  <si>
    <t>Kiarra</t>
  </si>
  <si>
    <t>6 DUCLOS GUYOT (Place)</t>
  </si>
  <si>
    <t>AYBBFA@hotmail.fr</t>
  </si>
  <si>
    <t>Satish</t>
  </si>
  <si>
    <t>Telesphore</t>
  </si>
  <si>
    <t>48 CROIX BEAUGEARD (Rue de la)</t>
  </si>
  <si>
    <t>QKPRIU@orange.fr</t>
  </si>
  <si>
    <t>Dolph</t>
  </si>
  <si>
    <t>Santos</t>
  </si>
  <si>
    <t>46 SAINTE ANNE (Rue)</t>
  </si>
  <si>
    <t>YKHJCW@gmail.com</t>
  </si>
  <si>
    <t>Sido</t>
  </si>
  <si>
    <t>Gautier</t>
  </si>
  <si>
    <t>3 Vanves (RUE)</t>
  </si>
  <si>
    <t>g.sido@epfedu.fr</t>
  </si>
  <si>
    <t>Doliprane</t>
  </si>
  <si>
    <t>Service</t>
  </si>
  <si>
    <t>Numero</t>
  </si>
  <si>
    <t>Type</t>
  </si>
  <si>
    <t>663, 333</t>
  </si>
  <si>
    <t>ID_materiel</t>
  </si>
  <si>
    <t>Nom_materiel</t>
  </si>
  <si>
    <t>Quantité_materiel</t>
  </si>
  <si>
    <t>Prix_unitaire</t>
  </si>
  <si>
    <t>Date_derniere_maintenance</t>
  </si>
  <si>
    <t>ID_fournisseur</t>
  </si>
  <si>
    <t>Scope</t>
  </si>
  <si>
    <t>2021-04-11</t>
  </si>
  <si>
    <t>2021-03-04</t>
  </si>
  <si>
    <t>2021-11-17</t>
  </si>
  <si>
    <t>2021-04-12</t>
  </si>
  <si>
    <t>2021-02-19</t>
  </si>
  <si>
    <t>2021-12-03</t>
  </si>
  <si>
    <t>2021-08-10</t>
  </si>
  <si>
    <t>2021-01-02</t>
  </si>
  <si>
    <t>Respirateur</t>
  </si>
  <si>
    <t>2021-08-07</t>
  </si>
  <si>
    <t>2021-02-16</t>
  </si>
  <si>
    <t>2021-12-02</t>
  </si>
  <si>
    <t>2021-03-21</t>
  </si>
  <si>
    <t>2021-10-14</t>
  </si>
  <si>
    <t>2021-06-20</t>
  </si>
  <si>
    <t>2021-04-10</t>
  </si>
  <si>
    <t>2021-06-15</t>
  </si>
  <si>
    <t>2021-02-03</t>
  </si>
  <si>
    <t>2021-12-16</t>
  </si>
  <si>
    <t>2021-04-03</t>
  </si>
  <si>
    <t>2021-05-23</t>
  </si>
  <si>
    <t>2021-02-18</t>
  </si>
  <si>
    <t>2021-08-09</t>
  </si>
  <si>
    <t>2021-10-04</t>
  </si>
  <si>
    <t>2021-09-06</t>
  </si>
  <si>
    <t>2021-10-23</t>
  </si>
  <si>
    <t>2021-03-10</t>
  </si>
  <si>
    <t>2021-01-03</t>
  </si>
  <si>
    <t>2021-05-25</t>
  </si>
  <si>
    <t>2021-09-23</t>
  </si>
  <si>
    <t>2021-09-10</t>
  </si>
  <si>
    <t>2021-09-18</t>
  </si>
  <si>
    <t>2021-04-08</t>
  </si>
  <si>
    <t>2021-06-08</t>
  </si>
  <si>
    <t>2021-04-07</t>
  </si>
  <si>
    <t>Dialyseur</t>
  </si>
  <si>
    <t>2021-07-23</t>
  </si>
  <si>
    <t>2021-11-07</t>
  </si>
  <si>
    <t>2021-07-08</t>
  </si>
  <si>
    <t>2021-08-04</t>
  </si>
  <si>
    <t>2021-09-12</t>
  </si>
  <si>
    <t>2021-08-16</t>
  </si>
  <si>
    <t>2021-09-20</t>
  </si>
  <si>
    <t>2021-06-07</t>
  </si>
  <si>
    <t>2021-11-03</t>
  </si>
  <si>
    <t>Pinces</t>
  </si>
  <si>
    <t>718</t>
  </si>
  <si>
    <t>973</t>
  </si>
  <si>
    <t>85</t>
  </si>
  <si>
    <t>600</t>
  </si>
  <si>
    <t>262</t>
  </si>
  <si>
    <t>808</t>
  </si>
  <si>
    <t>257</t>
  </si>
  <si>
    <t>504</t>
  </si>
  <si>
    <t>352</t>
  </si>
  <si>
    <t>898</t>
  </si>
  <si>
    <t>369</t>
  </si>
  <si>
    <t>870</t>
  </si>
  <si>
    <t>639</t>
  </si>
  <si>
    <t>523</t>
  </si>
  <si>
    <t>142</t>
  </si>
  <si>
    <t>624</t>
  </si>
  <si>
    <t>223</t>
  </si>
  <si>
    <t>Pansement</t>
  </si>
  <si>
    <t>491</t>
  </si>
  <si>
    <t>789</t>
  </si>
  <si>
    <t>559</t>
  </si>
  <si>
    <t>479</t>
  </si>
  <si>
    <t>243</t>
  </si>
  <si>
    <t>645</t>
  </si>
  <si>
    <t>480</t>
  </si>
  <si>
    <t>279</t>
  </si>
  <si>
    <t>353</t>
  </si>
  <si>
    <t>126</t>
  </si>
  <si>
    <t>455</t>
  </si>
  <si>
    <t>928</t>
  </si>
  <si>
    <t>847</t>
  </si>
  <si>
    <t>705</t>
  </si>
  <si>
    <t>591</t>
  </si>
  <si>
    <t>843</t>
  </si>
  <si>
    <t>282</t>
  </si>
  <si>
    <t>Scalpel</t>
  </si>
  <si>
    <t>400</t>
  </si>
  <si>
    <t>719</t>
  </si>
  <si>
    <t>975</t>
  </si>
  <si>
    <t>781</t>
  </si>
  <si>
    <t>364</t>
  </si>
  <si>
    <t>747</t>
  </si>
  <si>
    <t>484</t>
  </si>
  <si>
    <t>869</t>
  </si>
  <si>
    <t>165</t>
  </si>
  <si>
    <t>109</t>
  </si>
  <si>
    <t>621</t>
  </si>
  <si>
    <t>93</t>
  </si>
  <si>
    <t>979</t>
  </si>
  <si>
    <t>124</t>
  </si>
  <si>
    <t>947</t>
  </si>
  <si>
    <t>198</t>
  </si>
  <si>
    <t>139</t>
  </si>
  <si>
    <t>285</t>
  </si>
  <si>
    <t>991</t>
  </si>
  <si>
    <t>563</t>
  </si>
  <si>
    <t>498</t>
  </si>
  <si>
    <t>524</t>
  </si>
  <si>
    <t>562</t>
  </si>
  <si>
    <t>729</t>
  </si>
  <si>
    <t>378</t>
  </si>
  <si>
    <t>101</t>
  </si>
  <si>
    <t>536</t>
  </si>
  <si>
    <t>441</t>
  </si>
  <si>
    <t>912</t>
  </si>
  <si>
    <t>299</t>
  </si>
  <si>
    <t>391</t>
  </si>
  <si>
    <t>157</t>
  </si>
  <si>
    <t>569</t>
  </si>
  <si>
    <t>951</t>
  </si>
  <si>
    <t>2021-07-18</t>
  </si>
  <si>
    <t>2021-09-26</t>
  </si>
  <si>
    <t>2021-02-21</t>
  </si>
  <si>
    <t>2021-06-02</t>
  </si>
  <si>
    <t>2021-10-12</t>
  </si>
  <si>
    <t>2021-07-10</t>
  </si>
  <si>
    <t>2021-05-16</t>
  </si>
  <si>
    <t>2021-07-02</t>
  </si>
  <si>
    <t>ID_medicament</t>
  </si>
  <si>
    <t>Nom_medicament</t>
  </si>
  <si>
    <t>Quantite_nb_boites</t>
  </si>
  <si>
    <t>Seuil</t>
  </si>
  <si>
    <t>Prix_boite</t>
  </si>
  <si>
    <t>Fervex</t>
  </si>
  <si>
    <t>Ibuprofène</t>
  </si>
  <si>
    <t>Morphine</t>
  </si>
  <si>
    <t>Inssuline</t>
  </si>
  <si>
    <t>Dafalgan</t>
  </si>
  <si>
    <t>Accupan</t>
  </si>
  <si>
    <t>Biprofenide</t>
  </si>
  <si>
    <t>Débrida</t>
  </si>
  <si>
    <t>Prinpéran</t>
  </si>
  <si>
    <t>Spasfon</t>
  </si>
  <si>
    <t>Smecta</t>
  </si>
  <si>
    <t>Imodium</t>
  </si>
  <si>
    <t>Donomyl</t>
  </si>
  <si>
    <t>Lexomyl</t>
  </si>
  <si>
    <t>Lamaline</t>
  </si>
  <si>
    <t>Codoliprane</t>
  </si>
  <si>
    <t>Ketoprofène</t>
  </si>
  <si>
    <t>Météoxane</t>
  </si>
  <si>
    <t>Lasilix</t>
  </si>
  <si>
    <t>Sinvastatine</t>
  </si>
  <si>
    <t>Nom_fournisseur</t>
  </si>
  <si>
    <t>Sanofi</t>
  </si>
  <si>
    <t>Siemens</t>
  </si>
  <si>
    <t>Bayer</t>
  </si>
  <si>
    <t>Théa</t>
  </si>
  <si>
    <t>Servier</t>
  </si>
  <si>
    <t>LFB</t>
  </si>
  <si>
    <t>Pierre Fabre</t>
  </si>
  <si>
    <t>Boiron</t>
  </si>
  <si>
    <t>Pfaizer</t>
  </si>
  <si>
    <t>Roche</t>
  </si>
  <si>
    <t>Biogaran</t>
  </si>
  <si>
    <t>France neir</t>
  </si>
  <si>
    <t>Sécurimed</t>
  </si>
  <si>
    <t>Smith &amp; Nephew</t>
  </si>
  <si>
    <t>Hartman</t>
  </si>
  <si>
    <t>Nom_mutuelle</t>
  </si>
  <si>
    <t>ACORIS MUTUELLES</t>
  </si>
  <si>
    <t>ADREA MUTUELLE</t>
  </si>
  <si>
    <t>ALLIANCE DES MUTUALISTES DU TRANSPORT ET DU SECTEUR SOCIAL - ALMUTRA</t>
  </si>
  <si>
    <t>AMELLIS MUTUELLES</t>
  </si>
  <si>
    <t>AMICALE DU PERSONNEL DE FLEURY MICHON SA</t>
  </si>
  <si>
    <t>APICIL MUTUELLE</t>
  </si>
  <si>
    <t>APIVIA MUTUELLE</t>
  </si>
  <si>
    <t>ASSOCIATION GENERALE DES MEDECINS DE FRANCE PREVOYANCE</t>
  </si>
  <si>
    <t>AUBEANE MUTUELLE DE FRANCE</t>
  </si>
  <si>
    <t>AVENIR MUTUELLE</t>
  </si>
  <si>
    <t>AVENIR SANTE MUTUELLE</t>
  </si>
  <si>
    <t>BANQUE POPULAIRE MUTUALITE</t>
  </si>
  <si>
    <t>BPCE MUTUELLE</t>
  </si>
  <si>
    <t>CCMO MUTUELLE</t>
  </si>
  <si>
    <t>CDC MUTUELLE</t>
  </si>
  <si>
    <t>CHORALIS - MUTUELLE LE LIBRE CHOIX</t>
  </si>
  <si>
    <t>COMPLEMENTAIRE ASSURANCE MALADIE INTERDEPARTEMENTALE ET FAMILIALE</t>
  </si>
  <si>
    <t>CPAM - SOCIETE MUTUALISTE INTERENTREPRISE DU PERSONNEL DES ORGANISMES SOCIAUX DU LOT</t>
  </si>
  <si>
    <t>CYBELE SOLIDARITE</t>
  </si>
  <si>
    <t>ENERGIE MUTUELLE</t>
  </si>
  <si>
    <t>EOVI-MCD MUTUELLE</t>
  </si>
  <si>
    <t>FRANCE MUTUELLE</t>
  </si>
  <si>
    <t>GARANCE</t>
  </si>
  <si>
    <t>GROUPE DES MUTUELLES INDEPENDANTES</t>
  </si>
  <si>
    <t>HARMONIE MUTUELLE</t>
  </si>
  <si>
    <t>IDENTITES MUTUELLE</t>
  </si>
  <si>
    <t>INTEGRANCE</t>
  </si>
  <si>
    <t>INTERIALE MUTUELLE</t>
  </si>
  <si>
    <t>IRCEM MUTUELLE</t>
  </si>
  <si>
    <t>KLESIA MUT'</t>
  </si>
  <si>
    <t>L'INTERPROFESSIONNELLE</t>
  </si>
  <si>
    <t>LA FRANCE MUTUALISTE</t>
  </si>
  <si>
    <t>LA FRATERNELLE</t>
  </si>
  <si>
    <t>LA FRATERNELLE DES TERRITORIAUX</t>
  </si>
  <si>
    <t>LA FRATERNELLE MUTUELLE INTERENTREPRISES</t>
  </si>
  <si>
    <t>LA FRATERNITE</t>
  </si>
  <si>
    <t>LA MARSILLARGUOISE</t>
  </si>
  <si>
    <t>LA MUTUELLE DES ETUDIANTS</t>
  </si>
  <si>
    <t>LA MUTUELLE GENERALE</t>
  </si>
  <si>
    <t>LA MUTUELLE VERTE</t>
  </si>
  <si>
    <t>LA PHILANTHROPIQUE</t>
  </si>
  <si>
    <t>LA PREVOYANCE ARTISANALE COMMERCIALE ET SALARIALE</t>
  </si>
  <si>
    <t>LA PROBITE</t>
  </si>
  <si>
    <t>LA SOLIDARITE MUTUALISTE</t>
  </si>
  <si>
    <t>LA VENDARGUOISE</t>
  </si>
  <si>
    <t>LAMIE MUTUELLE</t>
  </si>
  <si>
    <t>LOU CLAPAS - L'AVEYRONNAISE</t>
  </si>
  <si>
    <t>MACIF MUTUALITE</t>
  </si>
  <si>
    <t>MALAKOFF HUMANIS NATIONALE</t>
  </si>
  <si>
    <t>MATMUT MUTUALITE</t>
  </si>
  <si>
    <t>MCEN - MUTUELLE DES CLERCS ET EMPLOYES DE NOTAIRE</t>
  </si>
  <si>
    <t>MCLR</t>
  </si>
  <si>
    <t>MFPRECAUTION</t>
  </si>
  <si>
    <t>MGDF - MUTUELLE GOODYEAR DUNLOP FRANCE</t>
  </si>
  <si>
    <t>MGEFI - MUTUELLE GENERALE DE L'ECONOMIE DES FINANCES ET DE L'INDUSTRIE</t>
  </si>
  <si>
    <t>MGEN FILIA</t>
  </si>
  <si>
    <t>MGP</t>
  </si>
  <si>
    <t>MOS</t>
  </si>
  <si>
    <t>MPOSS</t>
  </si>
  <si>
    <t>MUROS</t>
  </si>
  <si>
    <t>MUTAC</t>
  </si>
  <si>
    <t>MUTAERO</t>
  </si>
  <si>
    <t>MUTAG</t>
  </si>
  <si>
    <t>MUTAME &amp; PLUS</t>
  </si>
  <si>
    <t>MUTAME SAVOIE MONT BLANC</t>
  </si>
  <si>
    <t>MUTAMI</t>
  </si>
  <si>
    <t>MUTEST</t>
  </si>
  <si>
    <t>MUTEX COLLECTIVES</t>
  </si>
  <si>
    <t>MUTEX UNION</t>
  </si>
  <si>
    <t>MUTLOG GARANTIES</t>
  </si>
  <si>
    <t>MUTUALITE DE LA REUNION</t>
  </si>
  <si>
    <t>MUTUELLE 403</t>
  </si>
  <si>
    <t>MUTUELLE ACCIDENTS DE LA CONFEDERATION GENERALE DES OEUVRES LAIQUES</t>
  </si>
  <si>
    <t>MUTUELLE AIDE ET SOLIDARITE</t>
  </si>
  <si>
    <t>MUTUELLE APREVA</t>
  </si>
  <si>
    <t>MUTUELLE AVENIR SANTE</t>
  </si>
  <si>
    <t>MUTUELLE BLEUE</t>
  </si>
  <si>
    <t>MUTUELLE CENTRALE DES FINANCES</t>
  </si>
  <si>
    <t>MUTUELLE CHEMINOTS DU NORD</t>
  </si>
  <si>
    <t>MUTUELLE CHORUM</t>
  </si>
  <si>
    <t>MUTUELLE CNM</t>
  </si>
  <si>
    <t>MUTUELLE COMPLEMENTAIRE D'ALSACE</t>
  </si>
  <si>
    <t>MUTUELLE COMPLEMENTAIRE DE LA VILLE DE PARIS DE L'ASSISTANCE PUBLIQUE ET DES ADMINISTRATIONS ANNEXES</t>
  </si>
  <si>
    <t>MUTUELLE D ENTREPRISE DES ETABLISSEMENTS DU BON SAUVEUR</t>
  </si>
  <si>
    <t>MUTUELLE D'ASSURANCE DU PERSONNEL EXTERIEUR SALARIES DU GROUPE AXA</t>
  </si>
  <si>
    <t>MUTUELLE D'ENTRAIDE DE LA MUTUALITE FRANCAISE</t>
  </si>
  <si>
    <t>MUTUELLE D'ENTREPRISE DU PERSONNEL DE LA SOCIETE DES EAUX DE MARSEILLE</t>
  </si>
  <si>
    <t>MUTUELLE D'ENTREPRISE TANIN ET PANNEAUX DE LABRUGUIERE</t>
  </si>
  <si>
    <t>MUTUELLE D'ENTREPRISE UGINE GUEUGNON &amp; ALZ</t>
  </si>
  <si>
    <t>MUTUELLE D'ENTREPRISES SCHNEIDER ELECTRIC</t>
  </si>
  <si>
    <t>MUTUELLE D'EPARGNE DE RETRAITE ET DE PREVOYANCE CARAC</t>
  </si>
  <si>
    <t>MUTUELLE D'IVRY (LA FRATERNELLE)</t>
  </si>
  <si>
    <t>MUTUELLE D'OUEST-FRANCE</t>
  </si>
  <si>
    <t>MUTUELLE DE BAGNEAUX</t>
  </si>
  <si>
    <t>MUTUELLE DE FRANCE ALPES DU SUD</t>
  </si>
  <si>
    <t>MUTUELLE DE FRANCE DES HOSPITALIERS</t>
  </si>
  <si>
    <t>MUTUELLE DE FRANCE DU LACYDON</t>
  </si>
  <si>
    <t>MUTUELLE DE FRANCE LOIRE FOREZ</t>
  </si>
  <si>
    <t>MUTUELLE DE L'ENSEIGNEMENT CATHOLIQUE DE L'ANJOU</t>
  </si>
  <si>
    <t>MUTUELLE DE L'ENSEIGNEMENT CATHOLIQUE DES COTES D'ARMOR</t>
  </si>
  <si>
    <t>MUTUELLE DE L'ENTREPRISE CITRAM</t>
  </si>
  <si>
    <t>MUTUELLE DE L'ENTREPRISE GUILLERM</t>
  </si>
  <si>
    <t>MUTUELLE DE L'INDUSTRIE DU PETROLE</t>
  </si>
  <si>
    <t>MUTUELLE DE L'IRSID</t>
  </si>
  <si>
    <t>MUTUELLE DE L'OISE DES AGENTS TERRITORIAUX</t>
  </si>
  <si>
    <t>MUTUELLE DE LA CORSE</t>
  </si>
  <si>
    <t>MUTUELLE DE LA DEPECHE DU MIDI</t>
  </si>
  <si>
    <t>MUTUELLE DE LA PAPETERIE D'ARCHES</t>
  </si>
  <si>
    <t>MUTUELLE DE LA REGIE DES TRANSPORTS EN COMMUN DE L'AGGLOMERATION TROYENNE</t>
  </si>
  <si>
    <t>MUTUELLE DE LA VERRERIE D'ALBI</t>
  </si>
  <si>
    <t>MUTUELLE DE PONTOISE</t>
  </si>
  <si>
    <t>MUTUELLE DE PREVOYANCE DU PERSONNEL DE LA MACIF</t>
  </si>
  <si>
    <t>MUTUELLE DE PREVOYANCE ET DE SANTE</t>
  </si>
  <si>
    <t>MUTUELLE DE PREVOYANCE INTERPROFESSIONNELLE</t>
  </si>
  <si>
    <t>MUTUELLE DE SAINT JUNIEN ET DES ENVIRONS</t>
  </si>
  <si>
    <t>MUTUELLE DES AFFAIRES ETRANGERES ET EUROPEENNES</t>
  </si>
  <si>
    <t>MUTUELLE DES ANCIENS DE NATIXIS</t>
  </si>
  <si>
    <t>MUTUELLE DES ANCIENS DES CHANTIERS LA ROCHELLE-PALLICE</t>
  </si>
  <si>
    <t>MUTUELLE DES AUTEURS COMPOSITEURS ET EDITEURS DE MUSIQUE</t>
  </si>
  <si>
    <t>MUTUELLE DES CHAMBRES DE COMMERCE ET D'INDUSTRIE</t>
  </si>
  <si>
    <t>MUTUELLE DES CHEMINOTS DE LA REGION DE NANTES</t>
  </si>
  <si>
    <t>MUTUELLE DES CHEMINOTS DE NORMANDIE</t>
  </si>
  <si>
    <t>MUTUELLE DES ELUS LOCAUX</t>
  </si>
  <si>
    <t>MUTUELLE DES EMPLOYES TERRITORIAUX DE SAINT RAPHAEL</t>
  </si>
  <si>
    <t>MUTUELLE DES ENTREPRISES ET DES INDEPENDANTS DU COMMERCE DE L'INDUSTRIE ET DES SERVICES</t>
  </si>
  <si>
    <t>MUTUELLE DES ETUDIANTS DE BRETAGNE ATLANTIQUE MAINE ANJOU VENDEE</t>
  </si>
  <si>
    <t>MUTUELLE DES FONCTIONNAIRES</t>
  </si>
  <si>
    <t>MUTUELLE DES HOPITAUX DE LA VIENNE</t>
  </si>
  <si>
    <t>MUTUELLE DES HOSPITALIERS</t>
  </si>
  <si>
    <t>MUTUELLE DES INDUSTRIES AERONAUTIQUES SPATIALES ET CONNEXES</t>
  </si>
  <si>
    <t>MUTUELLE DES METIERS ELECTRONIQUE ET INFORMATIQUE</t>
  </si>
  <si>
    <t>MUTUELLE DES PATENTES ET LIBERAUX DE NOUVELLE CALEDONIE</t>
  </si>
  <si>
    <t>MUTUELLE DES PERSONNELS DU CENTRE HOSPITALIER D'ALES</t>
  </si>
  <si>
    <t>MUTUELLE DES PERSONNELS DU CH MONTPERRIN</t>
  </si>
  <si>
    <t>MUTUELLE DES PERSONNELS MARITIMES</t>
  </si>
  <si>
    <t>MUTUELLE DES PROFESSIONS JUDICIAIRES</t>
  </si>
  <si>
    <t>MUTUELLE DES RETRAITES AGF ET ALLIANZ</t>
  </si>
  <si>
    <t>MUTUELLE DES SAPEURS POMPIERS</t>
  </si>
  <si>
    <t>MUTUELLE DES SAPEURS POMPIERS DE PARIS</t>
  </si>
  <si>
    <t>MUTUELLE DES SCOP ET DES SCIC</t>
  </si>
  <si>
    <t>MUTUELLE DES SERVICES PUBLICS</t>
  </si>
  <si>
    <t>MUTUELLE DES SPORTIFS</t>
  </si>
  <si>
    <t>MUTUELLE DES TERRITORIAUX ET HOSPITALIERS</t>
  </si>
  <si>
    <t>MUTUELLE DES TRANSPORTS</t>
  </si>
  <si>
    <t>MUTUELLE DU BATIMENT ET DES TRAVAUX PUBLICS DU SUD EST</t>
  </si>
  <si>
    <t>MUTUELLE DU BATIMENT TRAVAUX PUBLICS &amp; REGIONS FRANCE &amp; EUROPE</t>
  </si>
  <si>
    <t>MUTUELLE DU CHAMPAGNE</t>
  </si>
  <si>
    <t>MUTUELLE DU CHU ET HOPITAUX DU PUY DE DOME</t>
  </si>
  <si>
    <t>MUTUELLE DU COMMERCE</t>
  </si>
  <si>
    <t>MUTUELLE DU GRAND PORT MARITIME DU HAVRE</t>
  </si>
  <si>
    <t>MUTUELLE DU GROUPE BNP PARIBAS</t>
  </si>
  <si>
    <t>MUTUELLE DU LOGEMENT</t>
  </si>
  <si>
    <t>MUTUELLE DU MINISTERE DE LA JUSTICE</t>
  </si>
  <si>
    <t>MUTUELLE DU MONDE COMBATTANT</t>
  </si>
  <si>
    <t>MUTUELLE DU NICKEL</t>
  </si>
  <si>
    <t>MUTUELLE DU PERSONNEL DE LA BANQUE POPULAIRE DU SUD</t>
  </si>
  <si>
    <t>MUTUELLE DU PERSONNEL DES COLLECTIVITES TERRITORIALE DE LA REUNION</t>
  </si>
  <si>
    <t>MUTUELLE DU PERSONNEL DES PORTS DU DETROIT</t>
  </si>
  <si>
    <t>MUTUELLE DU PERSONNEL DES TRANSPORTS URBAINS DE CANNES - BUS AZUR</t>
  </si>
  <si>
    <t>MUTUELLE DU PERSONNEL DU CHU</t>
  </si>
  <si>
    <t>MUTUELLE DU PERSONNEL DU GROUPE RATP</t>
  </si>
  <si>
    <t>MUTUELLE DU PERSONNEL DU GROUPE SOCIETE GENERALE</t>
  </si>
  <si>
    <t>MUTUELLE DU PIC ST LOUP - LA SCOLAIRE</t>
  </si>
  <si>
    <t>MUTUELLE DU PORT DE BORDEAUX</t>
  </si>
  <si>
    <t>MUTUELLE DU TELEGRAMME</t>
  </si>
  <si>
    <t>MUTUELLE DU VAL DE SEVRE</t>
  </si>
  <si>
    <t>MUTUELLE ENTRAIN</t>
  </si>
  <si>
    <t>MUTUELLE ENTRENOUS</t>
  </si>
  <si>
    <t>MUTUELLE EPARGNE RETRAITE</t>
  </si>
  <si>
    <t>MUTUELLE EPC</t>
  </si>
  <si>
    <t>MUTUELLE FACOM</t>
  </si>
  <si>
    <t>MUTUELLE FAMILIALE</t>
  </si>
  <si>
    <t>MUTUELLE FAMILIALE DE LA REUNION</t>
  </si>
  <si>
    <t>MUTUELLE FAMILIALE DE NORMANDIE</t>
  </si>
  <si>
    <t>MUTUELLE FAMILIALE DES CHEMINOTS DE FRANCE</t>
  </si>
  <si>
    <t>MUTUELLE FAMILIALE DES TRAVAILLEURS DU GROUPE SAFRAN</t>
  </si>
  <si>
    <t>MUTUELLE GENERALE DE L'EDUCATION NATIONALE</t>
  </si>
  <si>
    <t>MUTUELLE GENERALE DE PREVOYANCE</t>
  </si>
  <si>
    <t>MUTUELLE GENERALE DE PREVOYANCE ET D'ASSISTANCE</t>
  </si>
  <si>
    <t>MUTUELLE GENERALE DE PREVOYANCE SOCIALE</t>
  </si>
  <si>
    <t>MUTUELLE GENERALE DES AFFAIRES SOCIALES</t>
  </si>
  <si>
    <t>MUTUELLE GENERALE DES CHEMINOTS</t>
  </si>
  <si>
    <t>MUTUELLE GENERALE DES ETUDIANTS DE L'EST</t>
  </si>
  <si>
    <t>MUTUELLE GENERALE INTERPROFESSIONNELLE</t>
  </si>
  <si>
    <t>MUTUELLE GENERALE SOLIDARITE DE LA REUNION</t>
  </si>
  <si>
    <t>MUTUELLE GEODIS</t>
  </si>
  <si>
    <t>MUTUELLE IBAMEO</t>
  </si>
  <si>
    <t>MUTUELLE INTERENTREPRISE ERAM 526</t>
  </si>
  <si>
    <t>MUTUELLE INTERENTREPRISES DES CAVES DE ROQUEFORT</t>
  </si>
  <si>
    <t>MUTUELLE INTERGROUPES D'ENTRAIDE</t>
  </si>
  <si>
    <t>MUTUELLE INTERGROUPES POLIET ET CIMENT FRANCAIS</t>
  </si>
  <si>
    <t>MUTUELLE INTERPROFESSIONNELLE ANTILLES GUYANE (MIAG)</t>
  </si>
  <si>
    <t>MUTUELLE INTERPROFESSIONNELLE DE LA REGION SUD EST DE PARIS</t>
  </si>
  <si>
    <t>MUTUELLE INTERPROFESSIONNELLE DE PREVOYANCE</t>
  </si>
  <si>
    <t>MUTUELLE KEOLIS RENNES</t>
  </si>
  <si>
    <t>MUTUELLE LA CHOLETAISE</t>
  </si>
  <si>
    <t>MUTUELLE LA FRANCE MARITIME</t>
  </si>
  <si>
    <t>MUTUELLE LA SECURITE ASTURIENNE</t>
  </si>
  <si>
    <t>MUTUELLE LA SOLIDARITE D'AQUITAINE</t>
  </si>
  <si>
    <t>MUTUELLE LES MENAGES PREVOYANTS</t>
  </si>
  <si>
    <t>MUTUELLE MAE</t>
  </si>
  <si>
    <t>MUTUELLE MALAKOFF HUMANIS</t>
  </si>
  <si>
    <t>MUTUELLE MARE GAILLARD</t>
  </si>
  <si>
    <t>MUTUELLE MARSEILLE METROPOLE MUTAME PROVENCE</t>
  </si>
  <si>
    <t>MUTUELLE MEDICALE CHIRURGICALE ATLANTIQUE</t>
  </si>
  <si>
    <t>MUTUELLE MEUSREC</t>
  </si>
  <si>
    <t>MUTUELLE MFTSV</t>
  </si>
  <si>
    <t>MUTUELLE MIEUX-ETRE</t>
  </si>
  <si>
    <t>MUTUELLE MMH</t>
  </si>
  <si>
    <t>MUTUELLE NATIONALE DES CONSTRUCTEURS ET ACCEDANTS A LA PROPRIETE</t>
  </si>
  <si>
    <t>MUTUELLE NATIONALE DES FONCTIONNAIRES DES COLLECTIVITES TERRITORIALES</t>
  </si>
  <si>
    <t>MUTUELLE NATIONALE DES HOSPITALIERS ET DES PROFESSIONNELS DE LA SANTE ET DU SOCIAL</t>
  </si>
  <si>
    <t>MUTUELLE NATIONALE DES PERSONNELS AIR FRANCE</t>
  </si>
  <si>
    <t>MUTUELLE NATIONALE DES SAPEURS POMPIERS DE FRANCE</t>
  </si>
  <si>
    <t>MUTUELLE NATIONALE DU PERSONNEL DES ETABLISSEMENTS MICHELIN</t>
  </si>
  <si>
    <t>MUTUELLE NATIONALE TERRITORIALE</t>
  </si>
  <si>
    <t>MUTUELLE OCIANE MATMUT</t>
  </si>
  <si>
    <t>MUTUELLE PREVOYANCE ALSACE</t>
  </si>
  <si>
    <t>MUTUELLE PREVOYANCE ET DE L'HABITAT DE LA REUNION</t>
  </si>
  <si>
    <t>MUTUELLE PROVENCE ENTREPRISES</t>
  </si>
  <si>
    <t>MUTUELLE RENAULT</t>
  </si>
  <si>
    <t>MUTUELLE SAINT AUBANNAISE</t>
  </si>
  <si>
    <t>MUTUELLE SAINT SIMON</t>
  </si>
  <si>
    <t>MUTUELLE SANTE EIFFAGE ENERGIE</t>
  </si>
  <si>
    <t>MUTUELLE SANTE INDEPENDANTS</t>
  </si>
  <si>
    <t>MUTUELLE SMATIS FRANCE</t>
  </si>
  <si>
    <t>MUTUELLE SMH</t>
  </si>
  <si>
    <t>MUTUELLE SOLIDARITE AERONAUTIQUE</t>
  </si>
  <si>
    <t>MUTUELLE SOLIMUT CENTRE OCEAN</t>
  </si>
  <si>
    <t>MUTUELLE UNEO</t>
  </si>
  <si>
    <t>MUTUELLE VALEO</t>
  </si>
  <si>
    <t>MUTUELLE VAROISE DES TRAVAILLEURS DE L'ETAT</t>
  </si>
  <si>
    <t>MUTUELLE VERRIERS ET ASSIMILES</t>
  </si>
  <si>
    <t>MUTUELLE VIASANTE</t>
  </si>
  <si>
    <t>MUTUELLES DE LORRAINE</t>
  </si>
  <si>
    <t>MUTUELLES DU PAYS HAUT</t>
  </si>
  <si>
    <t>MUTUELLES DU SOLEIL - LIVRE II</t>
  </si>
  <si>
    <t>NYMPHEA SANTE</t>
  </si>
  <si>
    <t>OCEANE SANTE - SAINTE PHILOMENE</t>
  </si>
  <si>
    <t>ORPHELINAT MUTUALISTE DE LA POLICE NATIONALE PREVOYANCE</t>
  </si>
  <si>
    <t>PAVILLON PREVOYANCE</t>
  </si>
  <si>
    <t>PRECOCIA</t>
  </si>
  <si>
    <t>RADIANCE MUTUELLE</t>
  </si>
  <si>
    <t>RESSOURCES MUTUELLES ASSISTANCE</t>
  </si>
  <si>
    <t>SANTEMUT ROANNE</t>
  </si>
  <si>
    <t>SO'LYON MUTUELLE</t>
  </si>
  <si>
    <t>SOCIETE DE PREVOYANCE MUTUALISTE DU PERSONNEL DE LA BANQUE DE FRANCE</t>
  </si>
  <si>
    <t>SOCIETE INTERPROFESSIONNELLE MUTUALISTE INDEPENDANTE DE LA REGION PARISIENNE</t>
  </si>
  <si>
    <t>SOCIETE MUTUALISTE CHIRURGICALE ET COMPLEMENTAIRE DU PERSONNEL DE LA BANQUE DE FRANCE</t>
  </si>
  <si>
    <t>SOCIETE MUTUALISTE D'ENTREPRISE PERNOD</t>
  </si>
  <si>
    <t>SOCIETE MUTUALISTE DU PERSONNEL ACTIF ET RETRAITE DE LA MARQUE</t>
  </si>
  <si>
    <t>SOCIETE MUTUALISTE DU PERSONNEL DE LA SNECMA</t>
  </si>
  <si>
    <t>SOCIETE MUTUALISTE DU SALEVE</t>
  </si>
  <si>
    <t>SOCIETE MUTUALISTE INTER-ENTREPRISES</t>
  </si>
  <si>
    <t>SOCIETE MUTUALISTE INTERDEPARTEMENTALE DE BANQUE</t>
  </si>
  <si>
    <t>SOCIETE MUTUALISTE INTERPROFESSIONNELLE</t>
  </si>
  <si>
    <t>SOLIMUT MUTUELLE DE FRANCE</t>
  </si>
  <si>
    <t>SOLIMUT MUTUELLE PERSONNELS ORGANISMES SOCIAUX</t>
  </si>
  <si>
    <t>SORUAL</t>
  </si>
  <si>
    <t>SUD-OUEST MUTUALITE</t>
  </si>
  <si>
    <t>TERRITORIA MUTUELLE</t>
  </si>
  <si>
    <t>TUTELAIRE</t>
  </si>
  <si>
    <t>UMEN</t>
  </si>
  <si>
    <t>UNION DES MUTUELLES DE LA REUNION</t>
  </si>
  <si>
    <t>UNION HARMONIE MUTUALITE</t>
  </si>
  <si>
    <t>UNION MUTUALISTE DE PREVOYANCE</t>
  </si>
  <si>
    <t>UNION MUTUALISTE NATIONALE COMPLEMENTAIRE</t>
  </si>
  <si>
    <t>UNION MUTUALISTE RETRAITE</t>
  </si>
  <si>
    <t>UNION MUTUELLE AGRICOLE CHIRURGICALE</t>
  </si>
  <si>
    <t>UNION NATIONALE DES MUTUELLES D'ENTREPRISE - GARANTIE</t>
  </si>
  <si>
    <t>UNION NATIONALE DES MUTUELLES DES ORGANISMES SOCIAUX ET SIMILAIRES</t>
  </si>
  <si>
    <t>UNION NATIONALE MUTUALISTE INTERPROFESSIONNELLE</t>
  </si>
  <si>
    <t>UNMI'MUT</t>
  </si>
  <si>
    <t>525ÈME MUTUELLE D'ENTREPRISES</t>
  </si>
  <si>
    <t>ID_consultation</t>
  </si>
  <si>
    <t>Type_consultation</t>
  </si>
  <si>
    <t>Montant</t>
  </si>
  <si>
    <t>Symptomes</t>
  </si>
  <si>
    <t>Diagnostic</t>
  </si>
  <si>
    <t>Rendez-vous</t>
  </si>
  <si>
    <t>Démances</t>
  </si>
  <si>
    <t>Vertiges</t>
  </si>
  <si>
    <t>Hospitalisation</t>
  </si>
  <si>
    <t>Maux de gorges</t>
  </si>
  <si>
    <t>Contractions</t>
  </si>
  <si>
    <t>Douleurs</t>
  </si>
  <si>
    <t>Maux de ventre</t>
  </si>
  <si>
    <t>Pertes de mémoire</t>
  </si>
  <si>
    <t>Maux de dos</t>
  </si>
  <si>
    <t>Fourmis</t>
  </si>
  <si>
    <t>Rien</t>
  </si>
  <si>
    <t>Intervention</t>
  </si>
  <si>
    <t>Nom_service</t>
  </si>
  <si>
    <t>Covid19</t>
  </si>
  <si>
    <t>Réanimation</t>
  </si>
  <si>
    <t>Adresse_etablissement</t>
  </si>
  <si>
    <t>Ville_etablissement</t>
  </si>
  <si>
    <t>Code_postale_etablissement</t>
  </si>
  <si>
    <t>5 rue Berger</t>
  </si>
  <si>
    <t>3 boulevard Malesherbes</t>
  </si>
  <si>
    <t>19 rue des Gobelins</t>
  </si>
  <si>
    <t>Nom_Prenom_Personnel</t>
  </si>
  <si>
    <t>Nom_Prenom_patient</t>
  </si>
  <si>
    <t>Dark</t>
  </si>
  <si>
    <t>Vador</t>
  </si>
  <si>
    <t>45 rue d'Auber</t>
  </si>
  <si>
    <t>Dark.vador@gmail.com</t>
  </si>
  <si>
    <t>Nom_etablissement</t>
  </si>
  <si>
    <t>Vomis</t>
  </si>
  <si>
    <t>Service_ID</t>
  </si>
  <si>
    <t>Mal à la gorge</t>
  </si>
  <si>
    <t>Toux</t>
  </si>
  <si>
    <t>Brulure</t>
  </si>
  <si>
    <t>Maux en tout genre</t>
  </si>
  <si>
    <t>Mal partout</t>
  </si>
  <si>
    <t>Yeux qui brulent</t>
  </si>
  <si>
    <t>Bouffées de chaleurs</t>
  </si>
  <si>
    <t>Chaleur</t>
  </si>
  <si>
    <t>Quantité de boite</t>
  </si>
  <si>
    <t>Fréquence</t>
  </si>
  <si>
    <t>1x par jour</t>
  </si>
  <si>
    <t>Matin seulement</t>
  </si>
  <si>
    <t>Bistourie électrique</t>
  </si>
  <si>
    <t>Diane</t>
  </si>
  <si>
    <t>Castellani</t>
  </si>
  <si>
    <t>22 rue du docteur roux</t>
  </si>
  <si>
    <t>Noiseau</t>
  </si>
  <si>
    <t>diane.castellani@epfedu.fr</t>
  </si>
  <si>
    <t>non</t>
  </si>
  <si>
    <t>27/11/2020</t>
  </si>
  <si>
    <t>CoDoliprane</t>
  </si>
  <si>
    <t>Duret</t>
  </si>
  <si>
    <t>robin.duret@yahoo.fr</t>
  </si>
  <si>
    <t>20 allé des chotreaux</t>
  </si>
  <si>
    <t>Cassoulet</t>
  </si>
  <si>
    <t>Klamoxyl, Plomb</t>
  </si>
  <si>
    <t>Drill</t>
  </si>
  <si>
    <t>Lisopaïne</t>
  </si>
  <si>
    <t>grgr</t>
  </si>
  <si>
    <t>127 Rue Jean Macé</t>
  </si>
  <si>
    <t>3,1</t>
  </si>
  <si>
    <t>Douleur abdominale</t>
  </si>
  <si>
    <t xml:space="preserve"> = Hospitalisation</t>
  </si>
  <si>
    <t xml:space="preserve"> = Intervention</t>
  </si>
  <si>
    <t xml:space="preserve"> = Rendez-vous</t>
  </si>
  <si>
    <t>LEGENDE :</t>
  </si>
  <si>
    <t>STRATIEV</t>
  </si>
  <si>
    <t>Nicolas</t>
  </si>
  <si>
    <t>33 Rue Arago</t>
  </si>
  <si>
    <t>nicolas.stratiev@gmail.com</t>
  </si>
  <si>
    <t>4,15</t>
  </si>
  <si>
    <t>Tensionmetre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</si>
</sst>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C]_-;\-* #,##0.00\ [$€-40C]_-;_-* &quot;-&quot;??\ [$€-40C]_-;_-@_-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6">
    <xf numFmtId="0" fontId="0" fillId="0" borderId="0" xfId="0"/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0" xfId="0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14" fontId="0" fillId="3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2" fillId="2" borderId="0" xfId="0" applyFont="1" applyFill="1" applyAlignment="1">
      <alignment horizontal="center" textRotation="90"/>
    </xf>
    <xf numFmtId="0" fontId="4" fillId="3" borderId="0" xfId="0" applyFont="1" applyFill="1"/>
    <xf numFmtId="3" fontId="4" fillId="3" borderId="0" xfId="0" applyNumberFormat="1" applyFont="1" applyFill="1"/>
    <xf numFmtId="0" fontId="0" fillId="5" borderId="0" xfId="0" applyFill="1"/>
    <xf numFmtId="0" fontId="0" fillId="6" borderId="0" xfId="0" applyFill="1"/>
    <xf numFmtId="44" fontId="0" fillId="0" borderId="0" xfId="1" applyFont="1" applyAlignment="1">
      <alignment horizontal="center"/>
    </xf>
    <xf numFmtId="164" fontId="0" fillId="0" borderId="0" xfId="1" applyNumberFormat="1" applyFont="1" applyAlignment="1">
      <alignment horizontal="center"/>
    </xf>
    <xf numFmtId="0" fontId="4" fillId="7" borderId="0" xfId="0" applyFont="1" applyFill="1"/>
    <xf numFmtId="0" fontId="0" fillId="0" borderId="0" xfId="0" quotePrefix="1" applyAlignment="1">
      <alignment horizontal="center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5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 textRotation="75" wrapText="1"/>
    </xf>
  </cellXfs>
  <cellStyles count="2">
    <cellStyle name="Monétaire" xfId="1" builtinId="4"/>
    <cellStyle name="Normal" xfId="0" builtinId="0"/>
  </cellStyles>
  <dxfs count="110"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-* #,##0.00\ [$€-40C]_-;\-* #,##0.00\ [$€-40C]_-;_-* &quot;-&quot;??\ [$€-40C]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  <fill>
        <patternFill>
          <fgColor indexed="64"/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_-* #,##0.00\ [$€-40C]_-;\-* #,##0.00\ [$€-40C]_-;_-* &quot;-&quot;??\ [$€-40C]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_-* #,##0.00\ [$€-40C]_-;\-* #,##0.00\ [$€-40C]_-;_-* &quot;-&quot;??\ [$€-40C]_-;_-@_-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_-* #,##0.00\ [$€-40C]_-;\-* #,##0.00\ [$€-40C]_-;_-* &quot;-&quot;??\ [$€-40C]_-;_-@_-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 de patients</a:t>
            </a:r>
            <a:r>
              <a:rPr lang="fr-FR" baseline="0"/>
              <a:t> par établissement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103</c:v>
              </c:pt>
            </c:numLit>
          </c:val>
          <c:extLst>
            <c:ext xmlns:c16="http://schemas.microsoft.com/office/drawing/2014/chart" uri="{C3380CC4-5D6E-409C-BE32-E72D297353CC}">
              <c16:uniqueId val="{00000001-30DA-4A0A-A605-B15F0EA8A253}"/>
            </c:ext>
          </c:extLst>
        </c:ser>
        <c:ser>
          <c:idx val="1"/>
          <c:order val="1"/>
          <c:tx>
            <c:v>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104</c:v>
              </c:pt>
            </c:numLit>
          </c:val>
          <c:extLst>
            <c:ext xmlns:c16="http://schemas.microsoft.com/office/drawing/2014/chart" uri="{C3380CC4-5D6E-409C-BE32-E72D297353CC}">
              <c16:uniqueId val="{00000002-30DA-4A0A-A605-B15F0EA8A253}"/>
            </c:ext>
          </c:extLst>
        </c:ser>
        <c:ser>
          <c:idx val="2"/>
          <c:order val="2"/>
          <c:tx>
            <c:v>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125</c:v>
              </c:pt>
            </c:numLit>
          </c:val>
          <c:extLst>
            <c:ext xmlns:c16="http://schemas.microsoft.com/office/drawing/2014/chart" uri="{C3380CC4-5D6E-409C-BE32-E72D297353CC}">
              <c16:uniqueId val="{00000003-30DA-4A0A-A605-B15F0EA8A25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4541808"/>
        <c:axId val="1605045136"/>
      </c:barChart>
      <c:catAx>
        <c:axId val="16045418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Etablissements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crossAx val="1605045136"/>
        <c:crosses val="autoZero"/>
        <c:auto val="1"/>
        <c:lblAlgn val="ctr"/>
        <c:lblOffset val="100"/>
        <c:noMultiLvlLbl val="0"/>
      </c:catAx>
      <c:valAx>
        <c:axId val="1605045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Nombre de 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4541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Salaire moyen des différentes</a:t>
            </a:r>
            <a:br>
              <a:rPr lang="fr-FR"/>
            </a:br>
            <a:r>
              <a:rPr lang="fr-FR"/>
              <a:t>professions</a:t>
            </a:r>
            <a:r>
              <a:rPr lang="fr-FR" baseline="0"/>
              <a:t> et secteurs d'activité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Aide soignant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4535.2</c:v>
              </c:pt>
            </c:numLit>
          </c:val>
          <c:extLst>
            <c:ext xmlns:c16="http://schemas.microsoft.com/office/drawing/2014/chart" uri="{C3380CC4-5D6E-409C-BE32-E72D297353CC}">
              <c16:uniqueId val="{00000001-5B41-4AAD-85E3-33556F8588A0}"/>
            </c:ext>
          </c:extLst>
        </c:ser>
        <c:ser>
          <c:idx val="1"/>
          <c:order val="1"/>
          <c:tx>
            <c:v>Chirurgien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4537.8095238095239</c:v>
              </c:pt>
            </c:numLit>
          </c:val>
          <c:extLst>
            <c:ext xmlns:c16="http://schemas.microsoft.com/office/drawing/2014/chart" uri="{C3380CC4-5D6E-409C-BE32-E72D297353CC}">
              <c16:uniqueId val="{00000002-5B41-4AAD-85E3-33556F8588A0}"/>
            </c:ext>
          </c:extLst>
        </c:ser>
        <c:ser>
          <c:idx val="2"/>
          <c:order val="2"/>
          <c:tx>
            <c:v>Directeur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4499.666666666667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5B41-4AAD-85E3-33556F8588A0}"/>
            </c:ext>
          </c:extLst>
        </c:ser>
        <c:ser>
          <c:idx val="3"/>
          <c:order val="3"/>
          <c:tx>
            <c:v>Hôte/Hôtesse d'accueil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4551.739130434783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5B41-4AAD-85E3-33556F8588A0}"/>
            </c:ext>
          </c:extLst>
        </c:ser>
        <c:ser>
          <c:idx val="4"/>
          <c:order val="4"/>
          <c:tx>
            <c:v>Infirmier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5167.3846153846152</c:v>
              </c:pt>
            </c:numLit>
          </c:val>
          <c:extLst>
            <c:ext xmlns:c16="http://schemas.microsoft.com/office/drawing/2014/chart" uri="{C3380CC4-5D6E-409C-BE32-E72D297353CC}">
              <c16:uniqueId val="{00000005-5B41-4AAD-85E3-33556F8588A0}"/>
            </c:ext>
          </c:extLst>
        </c:ser>
        <c:ser>
          <c:idx val="5"/>
          <c:order val="5"/>
          <c:tx>
            <c:v>Médecin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2918.625</c:v>
              </c:pt>
            </c:numLit>
          </c:val>
          <c:extLst>
            <c:ext xmlns:c16="http://schemas.microsoft.com/office/drawing/2014/chart" uri="{C3380CC4-5D6E-409C-BE32-E72D297353CC}">
              <c16:uniqueId val="{00000006-5B41-4AAD-85E3-33556F8588A0}"/>
            </c:ext>
          </c:extLst>
        </c:ser>
        <c:ser>
          <c:idx val="6"/>
          <c:order val="6"/>
          <c:tx>
            <c:v>Oncologue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4091.4285714285716</c:v>
              </c:pt>
            </c:numLit>
          </c:val>
          <c:extLst>
            <c:ext xmlns:c16="http://schemas.microsoft.com/office/drawing/2014/chart" uri="{C3380CC4-5D6E-409C-BE32-E72D297353CC}">
              <c16:uniqueId val="{00000007-5B41-4AAD-85E3-33556F8588A0}"/>
            </c:ext>
          </c:extLst>
        </c:ser>
        <c:ser>
          <c:idx val="7"/>
          <c:order val="7"/>
          <c:tx>
            <c:v>Ophtalmologue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3940</c:v>
              </c:pt>
            </c:numLit>
          </c:val>
          <c:extLst>
            <c:ext xmlns:c16="http://schemas.microsoft.com/office/drawing/2014/chart" uri="{C3380CC4-5D6E-409C-BE32-E72D297353CC}">
              <c16:uniqueId val="{00000008-5B41-4AAD-85E3-33556F8588A0}"/>
            </c:ext>
          </c:extLst>
        </c:ser>
        <c:ser>
          <c:idx val="8"/>
          <c:order val="8"/>
          <c:tx>
            <c:v>Personnel de nettoyage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4799.4615384615381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41-4AAD-85E3-33556F8588A0}"/>
            </c:ext>
          </c:extLst>
        </c:ser>
        <c:ser>
          <c:idx val="9"/>
          <c:order val="9"/>
          <c:tx>
            <c:v>Personnel d'entretien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4110.916666666667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5B41-4AAD-85E3-33556F8588A0}"/>
            </c:ext>
          </c:extLst>
        </c:ser>
        <c:ser>
          <c:idx val="10"/>
          <c:order val="10"/>
          <c:tx>
            <c:v>Psychologue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4647.666666666667</c:v>
              </c:pt>
            </c:numLit>
          </c:val>
          <c:extLst>
            <c:ext xmlns:c16="http://schemas.microsoft.com/office/drawing/2014/chart" uri="{C3380CC4-5D6E-409C-BE32-E72D297353CC}">
              <c16:uniqueId val="{00000010-5B41-4AAD-85E3-33556F8588A0}"/>
            </c:ext>
          </c:extLst>
        </c:ser>
        <c:ser>
          <c:idx val="11"/>
          <c:order val="11"/>
          <c:tx>
            <c:v>Responsable ressources humaines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5075.894736842105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5B41-4AAD-85E3-33556F8588A0}"/>
            </c:ext>
          </c:extLst>
        </c:ser>
        <c:ser>
          <c:idx val="12"/>
          <c:order val="12"/>
          <c:tx>
            <c:v>Sage femme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3833.3333333333335</c:v>
              </c:pt>
            </c:numLit>
          </c:val>
          <c:extLst>
            <c:ext xmlns:c16="http://schemas.microsoft.com/office/drawing/2014/chart" uri="{C3380CC4-5D6E-409C-BE32-E72D297353CC}">
              <c16:uniqueId val="{00000012-5B41-4AAD-85E3-33556F8588A0}"/>
            </c:ext>
          </c:extLst>
        </c:ser>
        <c:ser>
          <c:idx val="13"/>
          <c:order val="13"/>
          <c:tx>
            <c:v>Secrétaire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4698.260869565217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5B41-4AAD-85E3-33556F8588A0}"/>
            </c:ext>
          </c:extLst>
        </c:ser>
        <c:ser>
          <c:idx val="14"/>
          <c:order val="14"/>
          <c:tx>
            <c:v>Urologue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3"/>
              <c:pt idx="0">
                <c:v>Personnel administratif</c:v>
              </c:pt>
              <c:pt idx="1">
                <c:v>Personnel de nettoyage</c:v>
              </c:pt>
              <c:pt idx="2">
                <c:v>Personnel médical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0</c:v>
              </c:pt>
              <c:pt idx="2">
                <c:v>4424.625</c:v>
              </c:pt>
            </c:numLit>
          </c:val>
          <c:extLst>
            <c:ext xmlns:c16="http://schemas.microsoft.com/office/drawing/2014/chart" uri="{C3380CC4-5D6E-409C-BE32-E72D297353CC}">
              <c16:uniqueId val="{00000014-5B41-4AAD-85E3-33556F858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4615728"/>
        <c:axId val="1605055952"/>
      </c:barChart>
      <c:catAx>
        <c:axId val="654615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Personnel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05055952"/>
        <c:crosses val="autoZero"/>
        <c:auto val="1"/>
        <c:lblAlgn val="ctr"/>
        <c:lblOffset val="100"/>
        <c:noMultiLvlLbl val="0"/>
      </c:catAx>
      <c:valAx>
        <c:axId val="160505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Salaire</a:t>
                </a:r>
                <a:r>
                  <a:rPr lang="fr-FR" baseline="0"/>
                  <a:t> moyen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546157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59467566554176"/>
          <c:y val="0.2138280110819481"/>
          <c:w val="0.31668205389420662"/>
          <c:h val="0.703129921259842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1</xdr:row>
      <xdr:rowOff>19050</xdr:rowOff>
    </xdr:from>
    <xdr:to>
      <xdr:col>2</xdr:col>
      <xdr:colOff>209550</xdr:colOff>
      <xdr:row>1</xdr:row>
      <xdr:rowOff>809625</xdr:rowOff>
    </xdr:to>
    <xdr:sp macro="[0]!Rectangle2_Cliquer" textlink="">
      <xdr:nvSpPr>
        <xdr:cNvPr id="3" name="Rectangle 2">
          <a:extLst>
            <a:ext uri="{FF2B5EF4-FFF2-40B4-BE49-F238E27FC236}">
              <a16:creationId xmlns:a16="http://schemas.microsoft.com/office/drawing/2014/main" id="{ECD9AF40-7DF9-4E6F-9DD3-619EDDE4BD6D}"/>
            </a:ext>
          </a:extLst>
        </xdr:cNvPr>
        <xdr:cNvSpPr/>
      </xdr:nvSpPr>
      <xdr:spPr>
        <a:xfrm>
          <a:off x="1704975" y="200025"/>
          <a:ext cx="1552575" cy="790575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i="1"/>
            <a:t>Démarrer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0</xdr:rowOff>
    </xdr:from>
    <xdr:to>
      <xdr:col>5</xdr:col>
      <xdr:colOff>358140</xdr:colOff>
      <xdr:row>15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33642BF-CC1F-47AA-93C4-2B287818D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358140</xdr:colOff>
      <xdr:row>0</xdr:row>
      <xdr:rowOff>0</xdr:rowOff>
    </xdr:from>
    <xdr:to>
      <xdr:col>10</xdr:col>
      <xdr:colOff>525780</xdr:colOff>
      <xdr:row>15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9C78699-D6D7-447D-BD25-5D19B35B07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8" xr16:uid="{00000000-0016-0000-0200-000000000000}" autoFormatId="16" applyNumberFormats="0" applyBorderFormats="0" applyFontFormats="0" applyPatternFormats="0" applyAlignmentFormats="0" applyWidthHeightFormats="0">
  <queryTableRefresh nextId="18" unboundColumnsRight="1">
    <queryTableFields count="17">
      <queryTableField id="1" name="ID_patient" tableColumnId="1"/>
      <queryTableField id="2" name="Nom_patient" tableColumnId="2"/>
      <queryTableField id="3" name="Prenom_patient" tableColumnId="3"/>
      <queryTableField id="4" name="Adresse_patient" tableColumnId="4"/>
      <queryTableField id="5" name="Code_postale_patient" tableColumnId="5"/>
      <queryTableField id="6" name="Ville_patient" tableColumnId="6"/>
      <queryTableField id="7" name="Mail_patient" tableColumnId="7"/>
      <queryTableField id="8" name="Telephone_patient" tableColumnId="8"/>
      <queryTableField id="9" name="Age_patient" tableColumnId="9"/>
      <queryTableField id="10" name="Poids_patient" tableColumnId="10"/>
      <queryTableField id="11" name="Taille_patient" tableColumnId="11"/>
      <queryTableField id="12" name="Sexe_patient" tableColumnId="12"/>
      <queryTableField id="13" name="Allergie" tableColumnId="13"/>
      <queryTableField id="14" name="Securite_sociale_CMU" tableColumnId="14"/>
      <queryTableField id="15" name="ID_mutuelle" tableColumnId="15"/>
      <queryTableField id="16" name="ID_etablissement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9" xr16:uid="{00000000-0016-0000-0300-000001000000}" autoFormatId="16" applyNumberFormats="0" applyBorderFormats="0" applyFontFormats="0" applyPatternFormats="0" applyAlignmentFormats="0" applyWidthHeightFormats="0">
  <queryTableRefresh nextId="15">
    <queryTableFields count="14">
      <queryTableField id="1" name="ID_personnel" tableColumnId="1"/>
      <queryTableField id="2" name="Nom_personnel" tableColumnId="2"/>
      <queryTableField id="3" name="Prenom_personnel" tableColumnId="3"/>
      <queryTableField id="4" name="Personnel" tableColumnId="4"/>
      <queryTableField id="5" name="Fonction" tableColumnId="5"/>
      <queryTableField id="6" name="Date_embauche" tableColumnId="6"/>
      <queryTableField id="7" name="Salaire_personnel" tableColumnId="7"/>
      <queryTableField id="8" name="Telephone_personnel" tableColumnId="8"/>
      <queryTableField id="9" name="Adresse_personnel" tableColumnId="9"/>
      <queryTableField id="10" name="Code_postal_personnel" tableColumnId="10"/>
      <queryTableField id="11" name="Ville_personnel" tableColumnId="11"/>
      <queryTableField id="12" name="Mail_personnel" tableColumnId="12"/>
      <queryTableField id="13" name="ID_etablissement" tableColumnId="13"/>
      <queryTableField id="14" name="ID_service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2" xr16:uid="{00000000-0016-0000-0400-000002000000}" autoFormatId="16" applyNumberFormats="0" applyBorderFormats="0" applyFontFormats="0" applyPatternFormats="0" applyAlignmentFormats="0" applyWidthHeightFormats="0">
  <queryTableRefresh nextId="16" unboundColumnsRight="4">
    <queryTableFields count="11">
      <queryTableField id="1" name="ID_consultation" tableColumnId="1"/>
      <queryTableField id="2" name="Type_consultation" tableColumnId="2"/>
      <queryTableField id="3" name="Montant" tableColumnId="3"/>
      <queryTableField id="4" name="Symptomes" tableColumnId="4"/>
      <queryTableField id="5" name="Diagnostic" tableColumnId="5"/>
      <queryTableField id="8" name="ID_patient" tableColumnId="8"/>
      <queryTableField id="9" name="ID_personnel" tableColumnId="9"/>
      <queryTableField id="12" dataBound="0" tableColumnId="6"/>
      <queryTableField id="13" dataBound="0" tableColumnId="7"/>
      <queryTableField id="14" dataBound="0" tableColumnId="10"/>
      <queryTableField id="15" dataBound="0" tableColumnId="11"/>
    </queryTableFields>
    <queryTableDeletedFields count="4">
      <deletedField name="ID_jour_entree"/>
      <deletedField name="ID_jour_sortie"/>
      <deletedField name="Heure_fin"/>
      <deletedField name="Heure_debut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4" xr16:uid="{00000000-0016-0000-0500-000003000000}" autoFormatId="16" applyNumberFormats="0" applyBorderFormats="0" applyFontFormats="0" applyPatternFormats="0" applyAlignmentFormats="0" applyWidthHeightFormats="0">
  <queryTableRefresh nextId="6" unboundColumnsRight="1">
    <queryTableFields count="5">
      <queryTableField id="1" name="ID_service" tableColumnId="1"/>
      <queryTableField id="2" name="Nom_service" tableColumnId="2"/>
      <queryTableField id="3" name="Etage" tableColumnId="3"/>
      <queryTableField id="4" name="ID_etablissement" tableColumnId="4"/>
      <queryTableField id="5" dataBound="0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00000000-0016-0000-0600-000004000000}" autoFormatId="16" applyNumberFormats="0" applyBorderFormats="0" applyFontFormats="0" applyPatternFormats="0" applyAlignmentFormats="0" applyWidthHeightFormats="0">
  <queryTableRefresh nextId="5">
    <queryTableFields count="4">
      <queryTableField id="1" name="ID_etablissement" tableColumnId="1"/>
      <queryTableField id="2" name="Adresse_etablissement" tableColumnId="2"/>
      <queryTableField id="3" name="Ville_etablissement" tableColumnId="3"/>
      <queryTableField id="4" name="Code_postale_etablissement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5" xr16:uid="{00000000-0016-0000-0700-000005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ID_materiel" tableColumnId="1"/>
      <queryTableField id="2" name="Nom_materiel" tableColumnId="2"/>
      <queryTableField id="3" name="Quantité_materiel" tableColumnId="3"/>
      <queryTableField id="4" name="Prix_unitaire" tableColumnId="4"/>
      <queryTableField id="5" name="Date_derniere_maintenance" tableColumnId="5"/>
      <queryTableField id="6" name="ID_service" tableColumnId="6"/>
      <queryTableField id="7" name="ID_fournisseur" tableColumnId="7"/>
      <queryTableField id="8" dataBound="0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6" xr16:uid="{00000000-0016-0000-0800-000006000000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ID_medicament" tableColumnId="1"/>
      <queryTableField id="2" name="Nom_medicament" tableColumnId="2"/>
      <queryTableField id="3" name="Quantite_nb_boites" tableColumnId="3"/>
      <queryTableField id="4" name="Seuil" tableColumnId="4"/>
      <queryTableField id="5" name="Prix_boite" tableColumnId="5"/>
      <queryTableField id="6" name="ID_fournisseur" tableColumnId="6"/>
      <queryTableField id="7" dataBound="0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4" xr16:uid="{00000000-0016-0000-0A00-000007000000}" autoFormatId="16" applyNumberFormats="0" applyBorderFormats="0" applyFontFormats="0" applyPatternFormats="0" applyAlignmentFormats="0" applyWidthHeightFormats="0">
  <queryTableRefresh nextId="3">
    <queryTableFields count="2">
      <queryTableField id="1" name="ID_fournisseur" tableColumnId="1"/>
      <queryTableField id="2" name="Nom_fournisseur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7" xr16:uid="{00000000-0016-0000-0B00-000008000000}" autoFormatId="16" applyNumberFormats="0" applyBorderFormats="0" applyFontFormats="0" applyPatternFormats="0" applyAlignmentFormats="0" applyWidthHeightFormats="0">
  <queryTableRefresh nextId="3">
    <queryTableFields count="2">
      <queryTableField id="1" name="ID_mutuelle" tableColumnId="1"/>
      <queryTableField id="2" name="Nom_mutuell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patient" displayName="patient" ref="A1:Q334" tableType="queryTable" totalsRowShown="0" headerRowDxfId="109" dataDxfId="108">
  <autoFilter ref="A1:Q334" xr:uid="{00000000-0009-0000-0100-000002000000}"/>
  <tableColumns count="17">
    <tableColumn id="1" xr3:uid="{00000000-0010-0000-0000-000001000000}" uniqueName="1" name="ID_patient" queryTableFieldId="1" dataDxfId="107"/>
    <tableColumn id="2" xr3:uid="{00000000-0010-0000-0000-000002000000}" uniqueName="2" name="Nom_patient" queryTableFieldId="2" dataDxfId="106"/>
    <tableColumn id="3" xr3:uid="{00000000-0010-0000-0000-000003000000}" uniqueName="3" name="Prenom_patient" queryTableFieldId="3" dataDxfId="105"/>
    <tableColumn id="4" xr3:uid="{00000000-0010-0000-0000-000004000000}" uniqueName="4" name="Adresse_patient" queryTableFieldId="4" dataDxfId="104"/>
    <tableColumn id="5" xr3:uid="{00000000-0010-0000-0000-000005000000}" uniqueName="5" name="Code_postale_patient" queryTableFieldId="5" dataDxfId="103"/>
    <tableColumn id="6" xr3:uid="{00000000-0010-0000-0000-000006000000}" uniqueName="6" name="Ville_patient" queryTableFieldId="6" dataDxfId="102"/>
    <tableColumn id="7" xr3:uid="{00000000-0010-0000-0000-000007000000}" uniqueName="7" name="Mail_patient" queryTableFieldId="7" dataDxfId="101"/>
    <tableColumn id="8" xr3:uid="{00000000-0010-0000-0000-000008000000}" uniqueName="8" name="Telephone_patient" queryTableFieldId="8" dataDxfId="100"/>
    <tableColumn id="9" xr3:uid="{00000000-0010-0000-0000-000009000000}" uniqueName="9" name="Age_patient" queryTableFieldId="9" dataDxfId="99"/>
    <tableColumn id="10" xr3:uid="{00000000-0010-0000-0000-00000A000000}" uniqueName="10" name="Poids_patient" queryTableFieldId="10" dataDxfId="98"/>
    <tableColumn id="11" xr3:uid="{00000000-0010-0000-0000-00000B000000}" uniqueName="11" name="Taille_patient" queryTableFieldId="11" dataDxfId="97"/>
    <tableColumn id="12" xr3:uid="{00000000-0010-0000-0000-00000C000000}" uniqueName="12" name="Sexe_patient" queryTableFieldId="12" dataDxfId="96"/>
    <tableColumn id="13" xr3:uid="{00000000-0010-0000-0000-00000D000000}" uniqueName="13" name="Allergie" queryTableFieldId="13" dataDxfId="95"/>
    <tableColumn id="14" xr3:uid="{00000000-0010-0000-0000-00000E000000}" uniqueName="14" name="Securite_sociale_CMU" queryTableFieldId="14" dataDxfId="94"/>
    <tableColumn id="15" xr3:uid="{00000000-0010-0000-0000-00000F000000}" uniqueName="15" name="ID_mutuelle" queryTableFieldId="15" dataDxfId="93"/>
    <tableColumn id="16" xr3:uid="{00000000-0010-0000-0000-000010000000}" uniqueName="16" name="ID_etablissement" queryTableFieldId="16" dataDxfId="92"/>
    <tableColumn id="17" xr3:uid="{00000000-0010-0000-0000-000011000000}" uniqueName="17" name="Nom_mutuelle" queryTableFieldId="17" dataDxfId="91">
      <calculatedColumnFormula>VLOOKUP(patient[[#This Row],[ID_mutuelle]],mutuelle[],2,FALSE)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ersonnel" displayName="personnel_1" ref="A1:N287" tableType="queryTable" totalsRowShown="0" headerRowDxfId="90" dataDxfId="89">
  <autoFilter ref="A1:N287" xr:uid="{00000000-0009-0000-0100-000001000000}"/>
  <sortState xmlns:xlrd2="http://schemas.microsoft.com/office/spreadsheetml/2017/richdata2" ref="A2:N286">
    <sortCondition descending="1" ref="D1:D286"/>
  </sortState>
  <tableColumns count="14">
    <tableColumn id="1" xr3:uid="{00000000-0010-0000-0100-000001000000}" uniqueName="1" name="ID_personnel" queryTableFieldId="1" dataDxfId="88"/>
    <tableColumn id="2" xr3:uid="{00000000-0010-0000-0100-000002000000}" uniqueName="2" name="Nom_personnel" queryTableFieldId="2" dataDxfId="87"/>
    <tableColumn id="3" xr3:uid="{00000000-0010-0000-0100-000003000000}" uniqueName="3" name="Prenom_personnel" queryTableFieldId="3" dataDxfId="86"/>
    <tableColumn id="4" xr3:uid="{00000000-0010-0000-0100-000004000000}" uniqueName="4" name="Personnel" queryTableFieldId="4" dataDxfId="85"/>
    <tableColumn id="5" xr3:uid="{00000000-0010-0000-0100-000005000000}" uniqueName="5" name="Fonction" queryTableFieldId="5" dataDxfId="84"/>
    <tableColumn id="6" xr3:uid="{00000000-0010-0000-0100-000006000000}" uniqueName="6" name="Date_embauche" queryTableFieldId="6" dataDxfId="83"/>
    <tableColumn id="7" xr3:uid="{00000000-0010-0000-0100-000007000000}" uniqueName="7" name="Salaire_personnel" queryTableFieldId="7" dataDxfId="82"/>
    <tableColumn id="8" xr3:uid="{00000000-0010-0000-0100-000008000000}" uniqueName="8" name="Telephone_personnel" queryTableFieldId="8" dataDxfId="81"/>
    <tableColumn id="9" xr3:uid="{00000000-0010-0000-0100-000009000000}" uniqueName="9" name="Adresse_personnel" queryTableFieldId="9" dataDxfId="80"/>
    <tableColumn id="10" xr3:uid="{00000000-0010-0000-0100-00000A000000}" uniqueName="10" name="Code_postal_personnel" queryTableFieldId="10" dataDxfId="79"/>
    <tableColumn id="11" xr3:uid="{00000000-0010-0000-0100-00000B000000}" uniqueName="11" name="Ville_personnel" queryTableFieldId="11" dataDxfId="78"/>
    <tableColumn id="12" xr3:uid="{00000000-0010-0000-0100-00000C000000}" uniqueName="12" name="Mail_personnel" queryTableFieldId="12" dataDxfId="77"/>
    <tableColumn id="13" xr3:uid="{00000000-0010-0000-0100-00000D000000}" uniqueName="13" name="ID_etablissement" queryTableFieldId="13" dataDxfId="76"/>
    <tableColumn id="14" xr3:uid="{00000000-0010-0000-0100-00000E000000}" uniqueName="14" name="ID_service" queryTableFieldId="14" dataDxfId="7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consultation" displayName="consultation" ref="A1:K190" tableType="queryTable" totalsRowShown="0" headerRowDxfId="74" dataDxfId="73">
  <autoFilter ref="A1:K190" xr:uid="{00000000-0009-0000-0100-000007000000}"/>
  <tableColumns count="11">
    <tableColumn id="1" xr3:uid="{00000000-0010-0000-0200-000001000000}" uniqueName="1" name="ID_consultation" queryTableFieldId="1" dataDxfId="72"/>
    <tableColumn id="2" xr3:uid="{00000000-0010-0000-0200-000002000000}" uniqueName="2" name="Type_consultation" queryTableFieldId="2" dataDxfId="71"/>
    <tableColumn id="3" xr3:uid="{00000000-0010-0000-0200-000003000000}" uniqueName="3" name="Montant" queryTableFieldId="3" dataDxfId="70"/>
    <tableColumn id="4" xr3:uid="{00000000-0010-0000-0200-000004000000}" uniqueName="4" name="Symptomes" queryTableFieldId="4" dataDxfId="69"/>
    <tableColumn id="5" xr3:uid="{00000000-0010-0000-0200-000005000000}" uniqueName="5" name="Diagnostic" queryTableFieldId="5" dataDxfId="68"/>
    <tableColumn id="8" xr3:uid="{00000000-0010-0000-0200-000008000000}" uniqueName="8" name="ID_patient" queryTableFieldId="8" dataDxfId="67"/>
    <tableColumn id="9" xr3:uid="{00000000-0010-0000-0200-000009000000}" uniqueName="9" name="ID_personnel" queryTableFieldId="9" dataDxfId="66"/>
    <tableColumn id="6" xr3:uid="{00000000-0010-0000-0200-000006000000}" uniqueName="6" name="Nom_Prenom_Personnel" queryTableFieldId="12" dataDxfId="65">
      <calculatedColumnFormula>VLOOKUP(consultation[[#This Row],[ID_personnel]],personnel_1[],2,FALSE)&amp;" "&amp;VLOOKUP(consultation[[#This Row],[ID_personnel]],personnel_1[],3,FALSE)</calculatedColumnFormula>
    </tableColumn>
    <tableColumn id="7" xr3:uid="{00000000-0010-0000-0200-000007000000}" uniqueName="7" name="Nom_Prenom_patient" queryTableFieldId="13" dataDxfId="64">
      <calculatedColumnFormula>VLOOKUP(consultation[[#This Row],[ID_patient]],patient[],2,FALSE)&amp;" "&amp;VLOOKUP(consultation[[#This Row],[ID_patient]],patient[],3,FALSE)</calculatedColumnFormula>
    </tableColumn>
    <tableColumn id="10" xr3:uid="{00000000-0010-0000-0200-00000A000000}" uniqueName="10" name="Etablissement" queryTableFieldId="14" dataDxfId="63">
      <calculatedColumnFormula>VLOOKUP(consultation[[#This Row],[ID_patient]],patient[],16,FALSE)</calculatedColumnFormula>
    </tableColumn>
    <tableColumn id="11" xr3:uid="{00000000-0010-0000-0200-00000B000000}" uniqueName="11" name="Service_ID" queryTableFieldId="15" dataDxfId="62">
      <calculatedColumnFormula>VLOOKUP(consultation[[#This Row],[ID_personnel]],personnel_1[],14,FALSE)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service" displayName="service" ref="A1:E46" tableType="queryTable" totalsRowShown="0" headerRowDxfId="61" dataDxfId="60">
  <autoFilter ref="A1:E46" xr:uid="{00000000-0009-0000-0100-000008000000}"/>
  <tableColumns count="5">
    <tableColumn id="1" xr3:uid="{00000000-0010-0000-0300-000001000000}" uniqueName="1" name="ID_service" queryTableFieldId="1" dataDxfId="59"/>
    <tableColumn id="2" xr3:uid="{00000000-0010-0000-0300-000002000000}" uniqueName="2" name="Nom_service" queryTableFieldId="2" dataDxfId="58"/>
    <tableColumn id="3" xr3:uid="{00000000-0010-0000-0300-000003000000}" uniqueName="3" name="Etage" queryTableFieldId="3" dataDxfId="57"/>
    <tableColumn id="4" xr3:uid="{00000000-0010-0000-0300-000004000000}" uniqueName="4" name="ID_etablissement" queryTableFieldId="4" dataDxfId="56"/>
    <tableColumn id="5" xr3:uid="{00000000-0010-0000-0300-000005000000}" uniqueName="5" name="Nom_etablissement" queryTableFieldId="5" dataDxfId="55">
      <calculatedColumnFormula>VLOOKUP(service[[#This Row],[ID_etablissement]],etablissement[],2,FALSE)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etablissement" displayName="etablissement" ref="A1:D4" tableType="queryTable" totalsRowShown="0" headerRowDxfId="54" dataDxfId="53">
  <autoFilter ref="A1:D4" xr:uid="{00000000-0009-0000-0100-000009000000}"/>
  <tableColumns count="4">
    <tableColumn id="1" xr3:uid="{00000000-0010-0000-0400-000001000000}" uniqueName="1" name="ID_etablissement" queryTableFieldId="1" dataDxfId="52"/>
    <tableColumn id="2" xr3:uid="{00000000-0010-0000-0400-000002000000}" uniqueName="2" name="Adresse_etablissement" queryTableFieldId="2" dataDxfId="51"/>
    <tableColumn id="3" xr3:uid="{00000000-0010-0000-0400-000003000000}" uniqueName="3" name="Ville_etablissement" queryTableFieldId="3" dataDxfId="50"/>
    <tableColumn id="4" xr3:uid="{00000000-0010-0000-0400-000004000000}" uniqueName="4" name="Code_postale_etablissement" queryTableFieldId="4" dataDxfId="49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materiel" displayName="materiel" ref="A1:H130" tableType="queryTable" totalsRowShown="0" headerRowDxfId="48" dataDxfId="47">
  <autoFilter ref="A1:H130" xr:uid="{00000000-0009-0000-0100-000003000000}"/>
  <tableColumns count="8">
    <tableColumn id="1" xr3:uid="{00000000-0010-0000-0500-000001000000}" uniqueName="1" name="ID_materiel" queryTableFieldId="1" dataDxfId="46"/>
    <tableColumn id="2" xr3:uid="{00000000-0010-0000-0500-000002000000}" uniqueName="2" name="Nom_materiel" queryTableFieldId="2" dataDxfId="45"/>
    <tableColumn id="3" xr3:uid="{00000000-0010-0000-0500-000003000000}" uniqueName="3" name="Quantité_materiel" queryTableFieldId="3" dataDxfId="44"/>
    <tableColumn id="4" xr3:uid="{00000000-0010-0000-0500-000004000000}" uniqueName="4" name="Prix_unitaire" queryTableFieldId="4" dataDxfId="43"/>
    <tableColumn id="5" xr3:uid="{00000000-0010-0000-0500-000005000000}" uniqueName="5" name="Date_derniere_maintenance" queryTableFieldId="5" dataDxfId="42"/>
    <tableColumn id="6" xr3:uid="{00000000-0010-0000-0500-000006000000}" uniqueName="6" name="ID_service" queryTableFieldId="6" dataDxfId="41"/>
    <tableColumn id="7" xr3:uid="{00000000-0010-0000-0500-000007000000}" uniqueName="7" name="ID_fournisseur" queryTableFieldId="7" dataDxfId="40"/>
    <tableColumn id="8" xr3:uid="{00000000-0010-0000-0500-000008000000}" uniqueName="8" name="Nom_fournisseur" queryTableFieldId="8" dataDxfId="39">
      <calculatedColumnFormula>VLOOKUP(materiel[[#This Row],[ID_fournisseur]],fournisseur[],2,FALSE)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medicament" displayName="medicament" ref="A1:G25" tableType="queryTable" totalsRowShown="0" headerRowDxfId="16" dataDxfId="15">
  <autoFilter ref="A1:G25" xr:uid="{00000000-0009-0000-0100-000004000000}"/>
  <tableColumns count="7">
    <tableColumn id="1" xr3:uid="{00000000-0010-0000-0600-000001000000}" uniqueName="1" name="ID_medicament" queryTableFieldId="1" dataDxfId="14"/>
    <tableColumn id="2" xr3:uid="{00000000-0010-0000-0600-000002000000}" uniqueName="2" name="Nom_medicament" queryTableFieldId="2" dataDxfId="13"/>
    <tableColumn id="3" xr3:uid="{00000000-0010-0000-0600-000003000000}" uniqueName="3" name="Quantite_nb_boites" queryTableFieldId="3" dataDxfId="12"/>
    <tableColumn id="4" xr3:uid="{00000000-0010-0000-0600-000004000000}" uniqueName="4" name="Seuil" queryTableFieldId="4" dataDxfId="11"/>
    <tableColumn id="5" xr3:uid="{00000000-0010-0000-0600-000005000000}" uniqueName="5" name="Prix_boite" queryTableFieldId="5" dataDxfId="10" dataCellStyle="Monétaire"/>
    <tableColumn id="6" xr3:uid="{00000000-0010-0000-0600-000006000000}" uniqueName="6" name="ID_fournisseur" queryTableFieldId="6" dataDxfId="9"/>
    <tableColumn id="7" xr3:uid="{00000000-0010-0000-0600-000007000000}" uniqueName="7" name="Nom_fournisseur" queryTableFieldId="7" dataDxfId="8">
      <calculatedColumnFormula>VLOOKUP(medicament[[#This Row],[ID_fournisseur]],fournisseur[],2,FALSE)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ableau12" displayName="Tableau12" ref="A1:D3" totalsRowShown="0">
  <autoFilter ref="A1:D3" xr:uid="{00000000-0009-0000-0100-00000C000000}"/>
  <tableColumns count="4">
    <tableColumn id="1" xr3:uid="{00000000-0010-0000-0700-000001000000}" name="ID_consultation"/>
    <tableColumn id="2" xr3:uid="{00000000-0010-0000-0700-000002000000}" name="ID_medicament"/>
    <tableColumn id="3" xr3:uid="{00000000-0010-0000-0700-000003000000}" name="Quantité de boite"/>
    <tableColumn id="4" xr3:uid="{00000000-0010-0000-0700-000004000000}" name="Fréquenc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fournisseur" displayName="fournisseur" ref="A1:B16" tableType="queryTable" totalsRowShown="0" headerRowDxfId="7" dataDxfId="6">
  <autoFilter ref="A1:B16" xr:uid="{00000000-0009-0000-0100-000005000000}"/>
  <tableColumns count="2">
    <tableColumn id="1" xr3:uid="{00000000-0010-0000-0800-000001000000}" uniqueName="1" name="ID_fournisseur" queryTableFieldId="1" dataDxfId="5"/>
    <tableColumn id="2" xr3:uid="{00000000-0010-0000-0800-000002000000}" uniqueName="2" name="Nom_fournisseur" queryTableFieldId="2" dataDxfId="4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mutuelle" displayName="mutuelle" ref="A1:B275" tableType="queryTable" totalsRowShown="0" headerRowDxfId="3" dataDxfId="2">
  <autoFilter ref="A1:B275" xr:uid="{00000000-0009-0000-0100-000006000000}"/>
  <tableColumns count="2">
    <tableColumn id="1" xr3:uid="{00000000-0010-0000-0900-000001000000}" uniqueName="1" name="ID_mutuelle" queryTableFieldId="1" dataDxfId="1"/>
    <tableColumn id="2" xr3:uid="{00000000-0010-0000-0900-000002000000}" uniqueName="2" name="Nom_mutuelle" queryTableFieldId="2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A335"/>
  <sheetViews>
    <sheetView zoomScale="80" zoomScaleNormal="80" workbookViewId="0">
      <pane ySplit="1" topLeftCell="A2" activePane="bottomLeft" state="frozen"/>
      <selection pane="bottomLeft" activeCell="B3" sqref="B3"/>
    </sheetView>
  </sheetViews>
  <sheetFormatPr baseColWidth="10" defaultRowHeight="14.4" x14ac:dyDescent="0.3"/>
  <cols>
    <col min="1" max="1" width="22.6640625" bestFit="1" customWidth="1"/>
    <col min="2" max="3" width="21.6640625" bestFit="1" customWidth="1"/>
    <col min="4" max="4" width="2.44140625" customWidth="1"/>
    <col min="5" max="5" width="2.6640625" customWidth="1"/>
    <col min="6" max="77" width="2.33203125" customWidth="1"/>
    <col min="79" max="79" width="15.6640625" bestFit="1" customWidth="1"/>
  </cols>
  <sheetData>
    <row r="1" spans="1:79" x14ac:dyDescent="0.3">
      <c r="D1" s="24" t="str">
        <f>TEXT(D2,"jjj")</f>
        <v>dim</v>
      </c>
      <c r="E1" s="24"/>
      <c r="F1" s="24" t="str">
        <f>TEXT(F2,"jjj")</f>
        <v>lun</v>
      </c>
      <c r="G1" s="24"/>
      <c r="H1" s="24" t="str">
        <f>TEXT(H2,"jjj")</f>
        <v>mar</v>
      </c>
      <c r="I1" s="24"/>
      <c r="J1" s="24" t="str">
        <f>TEXT(J2,"jjj")</f>
        <v>mer</v>
      </c>
      <c r="K1" s="24"/>
      <c r="L1" s="24" t="str">
        <f>TEXT(L2,"jjj")</f>
        <v>jeu</v>
      </c>
      <c r="M1" s="24"/>
      <c r="N1" s="24" t="str">
        <f>TEXT(N2,"jjj")</f>
        <v>ven</v>
      </c>
      <c r="O1" s="24"/>
      <c r="P1" s="24" t="str">
        <f>TEXT(P2,"jjj")</f>
        <v>sam</v>
      </c>
      <c r="Q1" s="24"/>
      <c r="R1" s="24" t="str">
        <f>TEXT(R2,"jjj")</f>
        <v>dim</v>
      </c>
      <c r="S1" s="24"/>
      <c r="T1" s="24" t="str">
        <f>TEXT(T2,"jjj")</f>
        <v>lun</v>
      </c>
      <c r="U1" s="24"/>
      <c r="V1" s="24" t="str">
        <f>TEXT(V2,"jjj")</f>
        <v>mar</v>
      </c>
      <c r="W1" s="24"/>
      <c r="X1" s="24" t="str">
        <f>TEXT(X2,"jjj")</f>
        <v>mer</v>
      </c>
      <c r="Y1" s="24"/>
      <c r="Z1" s="24" t="str">
        <f>TEXT(Z2,"jjj")</f>
        <v>jeu</v>
      </c>
      <c r="AA1" s="24"/>
      <c r="AB1" s="24" t="str">
        <f>TEXT(AB2,"jjj")</f>
        <v>ven</v>
      </c>
      <c r="AC1" s="24"/>
      <c r="AD1" s="24" t="str">
        <f>TEXT(AD2,"jjj")</f>
        <v>sam</v>
      </c>
      <c r="AE1" s="24"/>
      <c r="AF1" s="24" t="str">
        <f>TEXT(AF2,"jjj")</f>
        <v>dim</v>
      </c>
      <c r="AG1" s="24"/>
      <c r="AH1" s="24" t="str">
        <f>TEXT(AH2,"jjj")</f>
        <v>lun</v>
      </c>
      <c r="AI1" s="24"/>
      <c r="AJ1" s="24" t="str">
        <f>TEXT(AJ2,"jjj")</f>
        <v>mar</v>
      </c>
      <c r="AK1" s="24"/>
      <c r="AL1" s="24" t="str">
        <f>TEXT(AL2,"jjj")</f>
        <v>mer</v>
      </c>
      <c r="AM1" s="24"/>
      <c r="AN1" s="24" t="str">
        <f>TEXT(AN2,"jjj")</f>
        <v>jeu</v>
      </c>
      <c r="AO1" s="24"/>
      <c r="AP1" s="24" t="str">
        <f>TEXT(AP2,"jjj")</f>
        <v>ven</v>
      </c>
      <c r="AQ1" s="24"/>
      <c r="AR1" s="24" t="str">
        <f>TEXT(AR2,"jjj")</f>
        <v>sam</v>
      </c>
      <c r="AS1" s="24"/>
      <c r="AT1" s="24" t="str">
        <f>TEXT(AT2,"jjj")</f>
        <v>dim</v>
      </c>
      <c r="AU1" s="24"/>
      <c r="AV1" s="24" t="str">
        <f>TEXT(AV2,"jjj")</f>
        <v>lun</v>
      </c>
      <c r="AW1" s="24"/>
      <c r="AX1" s="24" t="str">
        <f>TEXT(AX2,"jjj")</f>
        <v>mar</v>
      </c>
      <c r="AY1" s="24"/>
      <c r="AZ1" s="24" t="str">
        <f>TEXT(AZ2,"jjj")</f>
        <v>mer</v>
      </c>
      <c r="BA1" s="24"/>
      <c r="BB1" s="24" t="str">
        <f>TEXT(BB2,"jjj")</f>
        <v>jeu</v>
      </c>
      <c r="BC1" s="24"/>
      <c r="BD1" s="24" t="str">
        <f>TEXT(BD2,"jjj")</f>
        <v>ven</v>
      </c>
      <c r="BE1" s="24"/>
      <c r="BF1" s="24" t="str">
        <f>TEXT(BF2,"jjj")</f>
        <v>sam</v>
      </c>
      <c r="BG1" s="24"/>
      <c r="BH1" s="24" t="str">
        <f>TEXT(BH2,"jjj")</f>
        <v>dim</v>
      </c>
      <c r="BI1" s="24"/>
      <c r="BJ1" s="24" t="str">
        <f>TEXT(BJ2,"jjj")</f>
        <v>lun</v>
      </c>
      <c r="BK1" s="24"/>
      <c r="BL1" s="24" t="str">
        <f>TEXT(BL2,"jjj")</f>
        <v>mar</v>
      </c>
      <c r="BM1" s="24"/>
      <c r="BN1" s="24" t="str">
        <f>TEXT(BN2,"jjj")</f>
        <v>mer</v>
      </c>
      <c r="BO1" s="24"/>
      <c r="BP1" s="24" t="str">
        <f>TEXT(BP2,"jjj")</f>
        <v>jeu</v>
      </c>
      <c r="BQ1" s="24"/>
      <c r="BR1" s="24" t="str">
        <f>TEXT(BR2,"jjj")</f>
        <v>ven</v>
      </c>
      <c r="BS1" s="24"/>
      <c r="BT1" s="24" t="str">
        <f>TEXT(BT2,"jjj")</f>
        <v>sam</v>
      </c>
      <c r="BU1" s="24"/>
      <c r="BV1" s="24" t="str">
        <f>TEXT(BV2,"jjj")</f>
        <v>dim</v>
      </c>
      <c r="BW1" s="24"/>
      <c r="BX1" s="24" t="str">
        <f>TEXT(BX2,"jjj")</f>
        <v>lun</v>
      </c>
      <c r="BY1" s="24"/>
    </row>
    <row r="2" spans="1:79" ht="73.95" customHeight="1" x14ac:dyDescent="0.3">
      <c r="D2" s="25">
        <f>DATE(2020,12,18)-WEEKDAY(DATE(2020,12,18),1)+1</f>
        <v>44178</v>
      </c>
      <c r="E2" s="25"/>
      <c r="F2" s="25">
        <f>D2+1</f>
        <v>44179</v>
      </c>
      <c r="G2" s="25"/>
      <c r="H2" s="25">
        <f t="shared" ref="H2" si="0">F2+1</f>
        <v>44180</v>
      </c>
      <c r="I2" s="25"/>
      <c r="J2" s="25">
        <f t="shared" ref="J2" si="1">H2+1</f>
        <v>44181</v>
      </c>
      <c r="K2" s="25"/>
      <c r="L2" s="25">
        <f t="shared" ref="L2" si="2">J2+1</f>
        <v>44182</v>
      </c>
      <c r="M2" s="25"/>
      <c r="N2" s="25">
        <f t="shared" ref="N2" si="3">L2+1</f>
        <v>44183</v>
      </c>
      <c r="O2" s="25"/>
      <c r="P2" s="25">
        <f t="shared" ref="P2" si="4">N2+1</f>
        <v>44184</v>
      </c>
      <c r="Q2" s="25"/>
      <c r="R2" s="25">
        <f t="shared" ref="R2" si="5">P2+1</f>
        <v>44185</v>
      </c>
      <c r="S2" s="25"/>
      <c r="T2" s="25">
        <f t="shared" ref="T2" si="6">R2+1</f>
        <v>44186</v>
      </c>
      <c r="U2" s="25"/>
      <c r="V2" s="25">
        <f t="shared" ref="V2" si="7">T2+1</f>
        <v>44187</v>
      </c>
      <c r="W2" s="25"/>
      <c r="X2" s="25">
        <f t="shared" ref="X2" si="8">V2+1</f>
        <v>44188</v>
      </c>
      <c r="Y2" s="25"/>
      <c r="Z2" s="25">
        <f t="shared" ref="Z2" si="9">X2+1</f>
        <v>44189</v>
      </c>
      <c r="AA2" s="25"/>
      <c r="AB2" s="25">
        <f t="shared" ref="AB2" si="10">Z2+1</f>
        <v>44190</v>
      </c>
      <c r="AC2" s="25"/>
      <c r="AD2" s="25">
        <f t="shared" ref="AD2" si="11">AB2+1</f>
        <v>44191</v>
      </c>
      <c r="AE2" s="25"/>
      <c r="AF2" s="25">
        <f t="shared" ref="AF2" si="12">AD2+1</f>
        <v>44192</v>
      </c>
      <c r="AG2" s="25"/>
      <c r="AH2" s="25">
        <f t="shared" ref="AH2" si="13">AF2+1</f>
        <v>44193</v>
      </c>
      <c r="AI2" s="25"/>
      <c r="AJ2" s="25">
        <f t="shared" ref="AJ2" si="14">AH2+1</f>
        <v>44194</v>
      </c>
      <c r="AK2" s="25"/>
      <c r="AL2" s="25">
        <f t="shared" ref="AL2" si="15">AJ2+1</f>
        <v>44195</v>
      </c>
      <c r="AM2" s="25"/>
      <c r="AN2" s="25">
        <f t="shared" ref="AN2" si="16">AL2+1</f>
        <v>44196</v>
      </c>
      <c r="AO2" s="25"/>
      <c r="AP2" s="25">
        <f t="shared" ref="AP2" si="17">AN2+1</f>
        <v>44197</v>
      </c>
      <c r="AQ2" s="25"/>
      <c r="AR2" s="25">
        <f t="shared" ref="AR2" si="18">AP2+1</f>
        <v>44198</v>
      </c>
      <c r="AS2" s="25"/>
      <c r="AT2" s="25">
        <f t="shared" ref="AT2" si="19">AR2+1</f>
        <v>44199</v>
      </c>
      <c r="AU2" s="25"/>
      <c r="AV2" s="25">
        <f t="shared" ref="AV2" si="20">AT2+1</f>
        <v>44200</v>
      </c>
      <c r="AW2" s="25"/>
      <c r="AX2" s="25">
        <f t="shared" ref="AX2" si="21">AV2+1</f>
        <v>44201</v>
      </c>
      <c r="AY2" s="25"/>
      <c r="AZ2" s="25">
        <f t="shared" ref="AZ2" si="22">AX2+1</f>
        <v>44202</v>
      </c>
      <c r="BA2" s="25"/>
      <c r="BB2" s="25">
        <f t="shared" ref="BB2" si="23">AZ2+1</f>
        <v>44203</v>
      </c>
      <c r="BC2" s="25"/>
      <c r="BD2" s="25">
        <f t="shared" ref="BD2" si="24">BB2+1</f>
        <v>44204</v>
      </c>
      <c r="BE2" s="25"/>
      <c r="BF2" s="25">
        <f t="shared" ref="BF2" si="25">BD2+1</f>
        <v>44205</v>
      </c>
      <c r="BG2" s="25"/>
      <c r="BH2" s="25">
        <f t="shared" ref="BH2" si="26">BF2+1</f>
        <v>44206</v>
      </c>
      <c r="BI2" s="25"/>
      <c r="BJ2" s="25">
        <f t="shared" ref="BJ2" si="27">BH2+1</f>
        <v>44207</v>
      </c>
      <c r="BK2" s="25"/>
      <c r="BL2" s="25">
        <f t="shared" ref="BL2" si="28">BJ2+1</f>
        <v>44208</v>
      </c>
      <c r="BM2" s="25"/>
      <c r="BN2" s="25">
        <f t="shared" ref="BN2" si="29">BL2+1</f>
        <v>44209</v>
      </c>
      <c r="BO2" s="25"/>
      <c r="BP2" s="25">
        <f t="shared" ref="BP2" si="30">BN2+1</f>
        <v>44210</v>
      </c>
      <c r="BQ2" s="25"/>
      <c r="BR2" s="25">
        <f t="shared" ref="BR2" si="31">BP2+1</f>
        <v>44211</v>
      </c>
      <c r="BS2" s="25"/>
      <c r="BT2" s="25">
        <f t="shared" ref="BT2" si="32">BR2+1</f>
        <v>44212</v>
      </c>
      <c r="BU2" s="25"/>
      <c r="BV2" s="25">
        <f t="shared" ref="BV2" si="33">BT2+1</f>
        <v>44213</v>
      </c>
      <c r="BW2" s="25"/>
      <c r="BX2" s="25">
        <f t="shared" ref="BX2" si="34">BV2+1</f>
        <v>44214</v>
      </c>
      <c r="BY2" s="25"/>
    </row>
    <row r="3" spans="1:79" ht="33" x14ac:dyDescent="0.35">
      <c r="A3" s="1" t="s">
        <v>6</v>
      </c>
      <c r="B3" s="1" t="s">
        <v>2</v>
      </c>
      <c r="C3" s="1" t="s">
        <v>3</v>
      </c>
      <c r="D3" s="11" t="s">
        <v>0</v>
      </c>
      <c r="E3" s="11" t="s">
        <v>1</v>
      </c>
      <c r="F3" s="11" t="s">
        <v>0</v>
      </c>
      <c r="G3" s="11" t="s">
        <v>1</v>
      </c>
      <c r="H3" s="11" t="s">
        <v>0</v>
      </c>
      <c r="I3" s="11" t="s">
        <v>1</v>
      </c>
      <c r="J3" s="11" t="s">
        <v>0</v>
      </c>
      <c r="K3" s="11" t="s">
        <v>1</v>
      </c>
      <c r="L3" s="11" t="s">
        <v>0</v>
      </c>
      <c r="M3" s="11" t="s">
        <v>1</v>
      </c>
      <c r="N3" s="11" t="s">
        <v>0</v>
      </c>
      <c r="O3" s="11" t="s">
        <v>1</v>
      </c>
      <c r="P3" s="11" t="s">
        <v>0</v>
      </c>
      <c r="Q3" s="11" t="s">
        <v>1</v>
      </c>
      <c r="R3" s="11" t="s">
        <v>0</v>
      </c>
      <c r="S3" s="11" t="s">
        <v>1</v>
      </c>
      <c r="T3" s="11" t="s">
        <v>0</v>
      </c>
      <c r="U3" s="11" t="s">
        <v>1</v>
      </c>
      <c r="V3" s="11" t="s">
        <v>0</v>
      </c>
      <c r="W3" s="11" t="s">
        <v>1</v>
      </c>
      <c r="X3" s="11" t="s">
        <v>0</v>
      </c>
      <c r="Y3" s="11" t="s">
        <v>1</v>
      </c>
      <c r="Z3" s="11" t="s">
        <v>0</v>
      </c>
      <c r="AA3" s="11" t="s">
        <v>1</v>
      </c>
      <c r="AB3" s="11" t="s">
        <v>0</v>
      </c>
      <c r="AC3" s="11" t="s">
        <v>1</v>
      </c>
      <c r="AD3" s="11" t="s">
        <v>0</v>
      </c>
      <c r="AE3" s="11" t="s">
        <v>1</v>
      </c>
      <c r="AF3" s="11" t="s">
        <v>0</v>
      </c>
      <c r="AG3" s="11" t="s">
        <v>1</v>
      </c>
      <c r="AH3" s="11" t="s">
        <v>0</v>
      </c>
      <c r="AI3" s="11" t="s">
        <v>1</v>
      </c>
      <c r="AJ3" s="11" t="s">
        <v>0</v>
      </c>
      <c r="AK3" s="11" t="s">
        <v>1</v>
      </c>
      <c r="AL3" s="11" t="s">
        <v>0</v>
      </c>
      <c r="AM3" s="11" t="s">
        <v>1</v>
      </c>
      <c r="AN3" s="11" t="s">
        <v>0</v>
      </c>
      <c r="AO3" s="11" t="s">
        <v>1</v>
      </c>
      <c r="AP3" s="11" t="s">
        <v>0</v>
      </c>
      <c r="AQ3" s="11" t="s">
        <v>1</v>
      </c>
      <c r="AR3" s="11" t="s">
        <v>0</v>
      </c>
      <c r="AS3" s="11" t="s">
        <v>1</v>
      </c>
      <c r="AT3" s="11" t="s">
        <v>0</v>
      </c>
      <c r="AU3" s="11" t="s">
        <v>1</v>
      </c>
      <c r="AV3" s="11" t="s">
        <v>0</v>
      </c>
      <c r="AW3" s="11" t="s">
        <v>1</v>
      </c>
      <c r="AX3" s="11" t="s">
        <v>0</v>
      </c>
      <c r="AY3" s="11" t="s">
        <v>1</v>
      </c>
      <c r="AZ3" s="11" t="s">
        <v>0</v>
      </c>
      <c r="BA3" s="11" t="s">
        <v>1</v>
      </c>
      <c r="BB3" s="11" t="s">
        <v>0</v>
      </c>
      <c r="BC3" s="11" t="s">
        <v>1</v>
      </c>
      <c r="BD3" s="11" t="s">
        <v>0</v>
      </c>
      <c r="BE3" s="11" t="s">
        <v>1</v>
      </c>
      <c r="BF3" s="11" t="s">
        <v>0</v>
      </c>
      <c r="BG3" s="11" t="s">
        <v>1</v>
      </c>
      <c r="BH3" s="11" t="s">
        <v>0</v>
      </c>
      <c r="BI3" s="11" t="s">
        <v>1</v>
      </c>
      <c r="BJ3" s="11" t="s">
        <v>0</v>
      </c>
      <c r="BK3" s="11" t="s">
        <v>1</v>
      </c>
      <c r="BL3" s="11" t="s">
        <v>0</v>
      </c>
      <c r="BM3" s="11" t="s">
        <v>1</v>
      </c>
      <c r="BN3" s="11" t="s">
        <v>0</v>
      </c>
      <c r="BO3" s="11" t="s">
        <v>1</v>
      </c>
      <c r="BP3" s="11" t="s">
        <v>0</v>
      </c>
      <c r="BQ3" s="11" t="s">
        <v>1</v>
      </c>
      <c r="BR3" s="11" t="s">
        <v>0</v>
      </c>
      <c r="BS3" s="11" t="s">
        <v>1</v>
      </c>
      <c r="BT3" s="11" t="s">
        <v>0</v>
      </c>
      <c r="BU3" s="11" t="s">
        <v>1</v>
      </c>
      <c r="BV3" s="11" t="s">
        <v>0</v>
      </c>
      <c r="BW3" s="11" t="s">
        <v>1</v>
      </c>
      <c r="BX3" s="11" t="s">
        <v>0</v>
      </c>
      <c r="BY3" s="11" t="s">
        <v>1</v>
      </c>
      <c r="BZ3" s="23" t="s">
        <v>2787</v>
      </c>
      <c r="CA3" s="23"/>
    </row>
    <row r="4" spans="1:79" x14ac:dyDescent="0.3">
      <c r="A4" s="4">
        <f>Personnel!M2</f>
        <v>1</v>
      </c>
      <c r="B4" s="5" t="str">
        <f>Personnel!D2</f>
        <v>Personnel médical</v>
      </c>
      <c r="C4" s="5" t="str">
        <f>Personnel!B2&amp;" "&amp;Personnel!C2</f>
        <v>Ffion Timoteus</v>
      </c>
      <c r="D4" s="14"/>
      <c r="E4" s="3"/>
      <c r="F4" s="2"/>
      <c r="G4" s="3"/>
      <c r="H4" s="2"/>
      <c r="I4" s="2"/>
      <c r="J4" s="2"/>
      <c r="K4" s="2"/>
      <c r="L4" s="14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2"/>
      <c r="CA4" t="s">
        <v>2785</v>
      </c>
    </row>
    <row r="5" spans="1:79" x14ac:dyDescent="0.3">
      <c r="A5" s="4">
        <f>Personnel!M3</f>
        <v>3</v>
      </c>
      <c r="B5" s="5" t="str">
        <f>Personnel!D3</f>
        <v>Personnel médical</v>
      </c>
      <c r="C5" s="5" t="str">
        <f>Personnel!B3&amp;" "&amp;Personnel!C3</f>
        <v>Arcadia Veera</v>
      </c>
      <c r="D5" s="2"/>
      <c r="E5" s="2"/>
      <c r="F5" s="2"/>
      <c r="G5" s="2"/>
      <c r="H5" s="15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3"/>
      <c r="CA5" t="s">
        <v>2784</v>
      </c>
    </row>
    <row r="6" spans="1:79" x14ac:dyDescent="0.3">
      <c r="A6" s="4">
        <f>Personnel!M4</f>
        <v>3</v>
      </c>
      <c r="B6" s="5" t="str">
        <f>Personnel!D4</f>
        <v>Personnel médical</v>
      </c>
      <c r="C6" s="5" t="str">
        <f>Personnel!B4&amp;" "&amp;Personnel!C4</f>
        <v>Amadi Tuvya</v>
      </c>
      <c r="D6" s="2"/>
      <c r="E6" s="2"/>
      <c r="F6" s="2"/>
      <c r="G6" s="2"/>
      <c r="H6" s="2"/>
      <c r="I6" s="6"/>
      <c r="J6" s="2"/>
      <c r="K6" s="2"/>
      <c r="L6" s="2"/>
      <c r="M6" s="2"/>
      <c r="N6" s="2"/>
      <c r="O6" s="2"/>
      <c r="P6" s="2"/>
      <c r="Q6" s="2"/>
      <c r="R6" s="20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14"/>
      <c r="CA6" t="s">
        <v>2786</v>
      </c>
    </row>
    <row r="7" spans="1:79" x14ac:dyDescent="0.3">
      <c r="A7" s="4">
        <f>Personnel!M5</f>
        <v>2</v>
      </c>
      <c r="B7" s="5" t="str">
        <f>Personnel!D5</f>
        <v>Personnel médical</v>
      </c>
      <c r="C7" s="5" t="str">
        <f>Personnel!B5&amp;" "&amp;Personnel!C5</f>
        <v>Morgan Madeline</v>
      </c>
      <c r="D7" s="2"/>
      <c r="E7" s="2"/>
      <c r="F7" s="2"/>
      <c r="G7" s="2"/>
      <c r="H7" s="20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</row>
    <row r="8" spans="1:79" x14ac:dyDescent="0.3">
      <c r="A8" s="4">
        <f>Personnel!M6</f>
        <v>1</v>
      </c>
      <c r="B8" s="5" t="str">
        <f>Personnel!D6</f>
        <v>Personnel médical</v>
      </c>
      <c r="C8" s="5" t="str">
        <f>Personnel!B6&amp;" "&amp;Personnel!C6</f>
        <v>Gry Steenie</v>
      </c>
      <c r="D8" s="2"/>
      <c r="E8" s="15"/>
      <c r="F8" s="2"/>
      <c r="G8" s="2"/>
      <c r="H8" s="2"/>
      <c r="I8" s="2"/>
      <c r="J8" s="2"/>
      <c r="K8" s="2"/>
      <c r="L8" s="20"/>
      <c r="M8" s="2"/>
      <c r="N8" s="2"/>
      <c r="O8" s="2"/>
      <c r="P8" s="2"/>
      <c r="Q8" s="14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</row>
    <row r="9" spans="1:79" x14ac:dyDescent="0.3">
      <c r="A9" s="4">
        <f>Personnel!M7</f>
        <v>2</v>
      </c>
      <c r="B9" s="5" t="str">
        <f>Personnel!D7</f>
        <v>Personnel médical</v>
      </c>
      <c r="C9" s="5" t="str">
        <f>Personnel!B7&amp;" "&amp;Personnel!C7</f>
        <v>Miranda Tina</v>
      </c>
      <c r="D9" s="2"/>
      <c r="E9" s="2"/>
      <c r="F9" s="20"/>
      <c r="G9" s="2"/>
      <c r="H9" s="2"/>
      <c r="I9" s="2"/>
      <c r="J9" s="2"/>
      <c r="K9" s="2"/>
      <c r="L9" s="15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1:79" x14ac:dyDescent="0.3">
      <c r="A10" s="4">
        <f>Personnel!M8</f>
        <v>2</v>
      </c>
      <c r="B10" s="5" t="str">
        <f>Personnel!D8</f>
        <v>Personnel médical</v>
      </c>
      <c r="C10" s="5" t="str">
        <f>Personnel!B8&amp;" "&amp;Personnel!C8</f>
        <v>Zusman Zosimos</v>
      </c>
      <c r="D10" s="2"/>
      <c r="E10" s="2"/>
      <c r="F10" s="2"/>
      <c r="G10" s="2"/>
      <c r="H10" s="2"/>
      <c r="I10" s="2"/>
      <c r="J10" s="2"/>
      <c r="K10" s="3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1:79" x14ac:dyDescent="0.3">
      <c r="A11" s="4">
        <f>Personnel!M9</f>
        <v>3</v>
      </c>
      <c r="B11" s="5" t="str">
        <f>Personnel!D9</f>
        <v>Personnel médical</v>
      </c>
      <c r="C11" s="5" t="str">
        <f>Personnel!B9&amp;" "&amp;Personnel!C9</f>
        <v>Wojciech Fachtna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1:79" x14ac:dyDescent="0.3">
      <c r="A12" s="4">
        <f>Personnel!M10</f>
        <v>1</v>
      </c>
      <c r="B12" s="5" t="str">
        <f>Personnel!D10</f>
        <v>Personnel médical</v>
      </c>
      <c r="C12" s="5" t="str">
        <f>Personnel!B10&amp;" "&amp;Personnel!C10</f>
        <v>Fikriyya Herbert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14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</row>
    <row r="13" spans="1:79" x14ac:dyDescent="0.3">
      <c r="A13" s="4">
        <f>Personnel!M11</f>
        <v>3</v>
      </c>
      <c r="B13" s="5" t="str">
        <f>Personnel!D11</f>
        <v>Personnel médical</v>
      </c>
      <c r="C13" s="5" t="str">
        <f>Personnel!B11&amp;" "&amp;Personnel!C11</f>
        <v>Fryderyk Pascuala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</row>
    <row r="14" spans="1:79" x14ac:dyDescent="0.3">
      <c r="A14" s="4">
        <f>Personnel!M12</f>
        <v>1</v>
      </c>
      <c r="B14" s="5" t="str">
        <f>Personnel!D12</f>
        <v>Personnel médical</v>
      </c>
      <c r="C14" s="5" t="str">
        <f>Personnel!B12&amp;" "&amp;Personnel!C12</f>
        <v>Jacqui Kama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</row>
    <row r="15" spans="1:79" x14ac:dyDescent="0.3">
      <c r="A15" s="4">
        <f>Personnel!M13</f>
        <v>1</v>
      </c>
      <c r="B15" s="5" t="str">
        <f>Personnel!D13</f>
        <v>Personnel médical</v>
      </c>
      <c r="C15" s="5" t="str">
        <f>Personnel!B13&amp;" "&amp;Personnel!C13</f>
        <v>Pearle Reynaud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</row>
    <row r="16" spans="1:79" x14ac:dyDescent="0.3">
      <c r="A16" s="4">
        <f>Personnel!M14</f>
        <v>1</v>
      </c>
      <c r="B16" s="5" t="str">
        <f>Personnel!D14</f>
        <v>Personnel médical</v>
      </c>
      <c r="C16" s="5" t="str">
        <f>Personnel!B14&amp;" "&amp;Personnel!C14</f>
        <v>Linford Yaffa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</row>
    <row r="17" spans="1:77" x14ac:dyDescent="0.3">
      <c r="A17" s="4">
        <f>Personnel!M15</f>
        <v>2</v>
      </c>
      <c r="B17" s="5" t="str">
        <f>Personnel!D15</f>
        <v>Personnel médical</v>
      </c>
      <c r="C17" s="5" t="str">
        <f>Personnel!B15&amp;" "&amp;Personnel!C15</f>
        <v>Przemo Hedda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</row>
    <row r="18" spans="1:77" x14ac:dyDescent="0.3">
      <c r="A18" s="4">
        <f>Personnel!M16</f>
        <v>2</v>
      </c>
      <c r="B18" s="5" t="str">
        <f>Personnel!D16</f>
        <v>Personnel médical</v>
      </c>
      <c r="C18" s="5" t="str">
        <f>Personnel!B16&amp;" "&amp;Personnel!C16</f>
        <v>Cheryl Damiano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</row>
    <row r="19" spans="1:77" x14ac:dyDescent="0.3">
      <c r="A19" s="4">
        <f>Personnel!M17</f>
        <v>1</v>
      </c>
      <c r="B19" s="5" t="str">
        <f>Personnel!D17</f>
        <v>Personnel médical</v>
      </c>
      <c r="C19" s="5" t="str">
        <f>Personnel!B17&amp;" "&amp;Personnel!C17</f>
        <v>Vilmar Eleanor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</row>
    <row r="20" spans="1:77" x14ac:dyDescent="0.3">
      <c r="A20" s="4">
        <f>Personnel!M18</f>
        <v>1</v>
      </c>
      <c r="B20" s="5" t="str">
        <f>Personnel!D18</f>
        <v>Personnel médical</v>
      </c>
      <c r="C20" s="5" t="str">
        <f>Personnel!B18&amp;" "&amp;Personnel!C18</f>
        <v>Eduard Madoline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</row>
    <row r="21" spans="1:77" x14ac:dyDescent="0.3">
      <c r="A21" s="4">
        <f>Personnel!M19</f>
        <v>3</v>
      </c>
      <c r="B21" s="5" t="str">
        <f>Personnel!D19</f>
        <v>Personnel médical</v>
      </c>
      <c r="C21" s="5" t="str">
        <f>Personnel!B19&amp;" "&amp;Personnel!C19</f>
        <v>Hammond Lan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</row>
    <row r="22" spans="1:77" x14ac:dyDescent="0.3">
      <c r="A22" s="4">
        <f>Personnel!M21</f>
        <v>2</v>
      </c>
      <c r="B22" s="5" t="str">
        <f>Personnel!D21</f>
        <v>Personnel médical</v>
      </c>
      <c r="C22" s="5" t="str">
        <f>Personnel!B21&amp;" "&amp;Personnel!C21</f>
        <v>Ömer Ronald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</row>
    <row r="23" spans="1:77" x14ac:dyDescent="0.3">
      <c r="A23" s="4">
        <f>Personnel!M22</f>
        <v>2</v>
      </c>
      <c r="B23" s="5" t="str">
        <f>Personnel!D22</f>
        <v>Personnel médical</v>
      </c>
      <c r="C23" s="5" t="str">
        <f>Personnel!B22&amp;" "&amp;Personnel!C22</f>
        <v>Eoforhild Genoveffa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</row>
    <row r="24" spans="1:77" x14ac:dyDescent="0.3">
      <c r="A24" s="4">
        <f>Personnel!M23</f>
        <v>2</v>
      </c>
      <c r="B24" s="5" t="str">
        <f>Personnel!D23</f>
        <v>Personnel médical</v>
      </c>
      <c r="C24" s="5" t="str">
        <f>Personnel!B23&amp;" "&amp;Personnel!C23</f>
        <v>Sarai Reggie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</row>
    <row r="25" spans="1:77" x14ac:dyDescent="0.3">
      <c r="A25" s="4">
        <f>Personnel!M24</f>
        <v>2</v>
      </c>
      <c r="B25" s="5" t="str">
        <f>Personnel!D24</f>
        <v>Personnel médical</v>
      </c>
      <c r="C25" s="5" t="str">
        <f>Personnel!B24&amp;" "&amp;Personnel!C24</f>
        <v>Éadaoin Baal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</row>
    <row r="26" spans="1:77" x14ac:dyDescent="0.3">
      <c r="A26" s="4">
        <f>Personnel!M25</f>
        <v>1</v>
      </c>
      <c r="B26" s="5" t="str">
        <f>Personnel!D25</f>
        <v>Personnel médical</v>
      </c>
      <c r="C26" s="5" t="str">
        <f>Personnel!B25&amp;" "&amp;Personnel!C25</f>
        <v>Sophie Carlton</v>
      </c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</row>
    <row r="27" spans="1:77" x14ac:dyDescent="0.3">
      <c r="A27" s="4">
        <f>Personnel!M26</f>
        <v>3</v>
      </c>
      <c r="B27" s="5" t="str">
        <f>Personnel!D26</f>
        <v>Personnel médical</v>
      </c>
      <c r="C27" s="5" t="str">
        <f>Personnel!B26&amp;" "&amp;Personnel!C26</f>
        <v>Spiros Sylvana</v>
      </c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</row>
    <row r="28" spans="1:77" x14ac:dyDescent="0.3">
      <c r="A28" s="4">
        <f>Personnel!M27</f>
        <v>3</v>
      </c>
      <c r="B28" s="5" t="str">
        <f>Personnel!D27</f>
        <v>Personnel médical</v>
      </c>
      <c r="C28" s="5" t="str">
        <f>Personnel!B27&amp;" "&amp;Personnel!C27</f>
        <v>Sancho Christophe</v>
      </c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</row>
    <row r="29" spans="1:77" x14ac:dyDescent="0.3">
      <c r="A29" s="4">
        <f>Personnel!M28</f>
        <v>1</v>
      </c>
      <c r="B29" s="5" t="str">
        <f>Personnel!D28</f>
        <v>Personnel médical</v>
      </c>
      <c r="C29" s="5" t="str">
        <f>Personnel!B28&amp;" "&amp;Personnel!C28</f>
        <v>Joab Jaumet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</row>
    <row r="30" spans="1:77" x14ac:dyDescent="0.3">
      <c r="A30" s="4">
        <f>Personnel!M29</f>
        <v>3</v>
      </c>
      <c r="B30" s="5" t="str">
        <f>Personnel!D29</f>
        <v>Personnel médical</v>
      </c>
      <c r="C30" s="5" t="str">
        <f>Personnel!B29&amp;" "&amp;Personnel!C29</f>
        <v>Narcisse Iqbal</v>
      </c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</row>
    <row r="31" spans="1:77" x14ac:dyDescent="0.3">
      <c r="A31" s="4">
        <f>Personnel!M30</f>
        <v>1</v>
      </c>
      <c r="B31" s="5" t="str">
        <f>Personnel!D30</f>
        <v>Personnel médical</v>
      </c>
      <c r="C31" s="5" t="str">
        <f>Personnel!B30&amp;" "&amp;Personnel!C30</f>
        <v>Kristine Ngai</v>
      </c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</row>
    <row r="32" spans="1:77" x14ac:dyDescent="0.3">
      <c r="A32" s="4">
        <f>Personnel!M31</f>
        <v>1</v>
      </c>
      <c r="B32" s="5" t="str">
        <f>Personnel!D31</f>
        <v>Personnel médical</v>
      </c>
      <c r="C32" s="5" t="str">
        <f>Personnel!B31&amp;" "&amp;Personnel!C31</f>
        <v>Beatrice Ralf</v>
      </c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</row>
    <row r="33" spans="1:77" x14ac:dyDescent="0.3">
      <c r="A33" s="4">
        <f>Personnel!M32</f>
        <v>1</v>
      </c>
      <c r="B33" s="5" t="str">
        <f>Personnel!D32</f>
        <v>Personnel médical</v>
      </c>
      <c r="C33" s="5" t="str">
        <f>Personnel!B32&amp;" "&amp;Personnel!C32</f>
        <v>Ranald Grover</v>
      </c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</row>
    <row r="34" spans="1:77" x14ac:dyDescent="0.3">
      <c r="A34" s="4">
        <f>Personnel!M33</f>
        <v>3</v>
      </c>
      <c r="B34" s="5" t="str">
        <f>Personnel!D33</f>
        <v>Personnel médical</v>
      </c>
      <c r="C34" s="5" t="str">
        <f>Personnel!B33&amp;" "&amp;Personnel!C33</f>
        <v>Fatima Kourtney</v>
      </c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</row>
    <row r="35" spans="1:77" x14ac:dyDescent="0.3">
      <c r="A35" s="4">
        <f>Personnel!M34</f>
        <v>1</v>
      </c>
      <c r="B35" s="5" t="str">
        <f>Personnel!D34</f>
        <v>Personnel médical</v>
      </c>
      <c r="C35" s="5" t="str">
        <f>Personnel!B34&amp;" "&amp;Personnel!C34</f>
        <v>Chad Theodoric</v>
      </c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</row>
    <row r="36" spans="1:77" x14ac:dyDescent="0.3">
      <c r="A36" s="4">
        <f>Personnel!M35</f>
        <v>3</v>
      </c>
      <c r="B36" s="5" t="str">
        <f>Personnel!D35</f>
        <v>Personnel médical</v>
      </c>
      <c r="C36" s="5" t="str">
        <f>Personnel!B35&amp;" "&amp;Personnel!C35</f>
        <v>Caden Dominik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</row>
    <row r="37" spans="1:77" x14ac:dyDescent="0.3">
      <c r="A37" s="4">
        <f>Personnel!M36</f>
        <v>1</v>
      </c>
      <c r="B37" s="5" t="str">
        <f>Personnel!D36</f>
        <v>Personnel médical</v>
      </c>
      <c r="C37" s="5" t="str">
        <f>Personnel!B36&amp;" "&amp;Personnel!C36</f>
        <v>Oleksander Aatto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</row>
    <row r="38" spans="1:77" x14ac:dyDescent="0.3">
      <c r="A38" s="4">
        <f>Personnel!M37</f>
        <v>3</v>
      </c>
      <c r="B38" s="5" t="str">
        <f>Personnel!D37</f>
        <v>Personnel médical</v>
      </c>
      <c r="C38" s="5" t="str">
        <f>Personnel!B37&amp;" "&amp;Personnel!C37</f>
        <v>Thekla Maha</v>
      </c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</row>
    <row r="39" spans="1:77" x14ac:dyDescent="0.3">
      <c r="A39" s="4">
        <f>Personnel!M38</f>
        <v>2</v>
      </c>
      <c r="B39" s="5" t="str">
        <f>Personnel!D38</f>
        <v>Personnel médical</v>
      </c>
      <c r="C39" s="5" t="str">
        <f>Personnel!B38&amp;" "&amp;Personnel!C38</f>
        <v>Hashim Khadiga</v>
      </c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</row>
    <row r="40" spans="1:77" x14ac:dyDescent="0.3">
      <c r="A40" s="4">
        <f>Personnel!M39</f>
        <v>1</v>
      </c>
      <c r="B40" s="5" t="str">
        <f>Personnel!D39</f>
        <v>Personnel médical</v>
      </c>
      <c r="C40" s="5" t="str">
        <f>Personnel!B39&amp;" "&amp;Personnel!C39</f>
        <v>Philippa Artemisia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</row>
    <row r="41" spans="1:77" x14ac:dyDescent="0.3">
      <c r="A41" s="4">
        <f>Personnel!M40</f>
        <v>1</v>
      </c>
      <c r="B41" s="5" t="str">
        <f>Personnel!D40</f>
        <v>Personnel médical</v>
      </c>
      <c r="C41" s="5" t="str">
        <f>Personnel!B40&amp;" "&amp;Personnel!C40</f>
        <v>Shiphrah Eluned</v>
      </c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</row>
    <row r="42" spans="1:77" x14ac:dyDescent="0.3">
      <c r="A42" s="4">
        <f>Personnel!M41</f>
        <v>1</v>
      </c>
      <c r="B42" s="5" t="str">
        <f>Personnel!D41</f>
        <v>Personnel médical</v>
      </c>
      <c r="C42" s="5" t="str">
        <f>Personnel!B41&amp;" "&amp;Personnel!C41</f>
        <v>Vince Tuija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</row>
    <row r="43" spans="1:77" x14ac:dyDescent="0.3">
      <c r="A43" s="4">
        <f>Personnel!M42</f>
        <v>1</v>
      </c>
      <c r="B43" s="5" t="str">
        <f>Personnel!D42</f>
        <v>Personnel médical</v>
      </c>
      <c r="C43" s="5" t="str">
        <f>Personnel!B42&amp;" "&amp;Personnel!C42</f>
        <v>Bailey Greet</v>
      </c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</row>
    <row r="44" spans="1:77" x14ac:dyDescent="0.3">
      <c r="A44" s="4">
        <f>Personnel!M43</f>
        <v>1</v>
      </c>
      <c r="B44" s="5" t="str">
        <f>Personnel!D43</f>
        <v>Personnel médical</v>
      </c>
      <c r="C44" s="5" t="str">
        <f>Personnel!B43&amp;" "&amp;Personnel!C43</f>
        <v>Herk Bernadette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</row>
    <row r="45" spans="1:77" x14ac:dyDescent="0.3">
      <c r="A45" s="4">
        <f>Personnel!M44</f>
        <v>2</v>
      </c>
      <c r="B45" s="5" t="str">
        <f>Personnel!D44</f>
        <v>Personnel médical</v>
      </c>
      <c r="C45" s="5" t="str">
        <f>Personnel!B44&amp;" "&amp;Personnel!C44</f>
        <v>Boyd Lanford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</row>
    <row r="46" spans="1:77" x14ac:dyDescent="0.3">
      <c r="A46" s="4">
        <f>Personnel!M46</f>
        <v>2</v>
      </c>
      <c r="B46" s="5" t="str">
        <f>Personnel!D46</f>
        <v>Personnel médical</v>
      </c>
      <c r="C46" s="5" t="str">
        <f>Personnel!B46&amp;" "&amp;Personnel!C46</f>
        <v>Delia Fritjof</v>
      </c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</row>
    <row r="47" spans="1:77" x14ac:dyDescent="0.3">
      <c r="A47" s="4">
        <f>Personnel!M47</f>
        <v>2</v>
      </c>
      <c r="B47" s="5" t="str">
        <f>Personnel!D47</f>
        <v>Personnel médical</v>
      </c>
      <c r="C47" s="5" t="str">
        <f>Personnel!B47&amp;" "&amp;Personnel!C47</f>
        <v>Foka Akeem</v>
      </c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</row>
    <row r="48" spans="1:77" x14ac:dyDescent="0.3">
      <c r="A48" s="4">
        <f>Personnel!M48</f>
        <v>2</v>
      </c>
      <c r="B48" s="5" t="str">
        <f>Personnel!D48</f>
        <v>Personnel médical</v>
      </c>
      <c r="C48" s="5" t="str">
        <f>Personnel!B48&amp;" "&amp;Personnel!C48</f>
        <v>Sorcha Peni</v>
      </c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</row>
    <row r="49" spans="1:77" x14ac:dyDescent="0.3">
      <c r="A49" s="4">
        <f>Personnel!M49</f>
        <v>2</v>
      </c>
      <c r="B49" s="5" t="str">
        <f>Personnel!D49</f>
        <v>Personnel médical</v>
      </c>
      <c r="C49" s="5" t="str">
        <f>Personnel!B49&amp;" "&amp;Personnel!C49</f>
        <v>Antony Abegail</v>
      </c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</row>
    <row r="50" spans="1:77" x14ac:dyDescent="0.3">
      <c r="A50" s="4">
        <f>Personnel!M50</f>
        <v>3</v>
      </c>
      <c r="B50" s="5" t="str">
        <f>Personnel!D50</f>
        <v>Personnel médical</v>
      </c>
      <c r="C50" s="5" t="str">
        <f>Personnel!B50&amp;" "&amp;Personnel!C50</f>
        <v>Isabel Venceslao</v>
      </c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</row>
    <row r="51" spans="1:77" x14ac:dyDescent="0.3">
      <c r="A51" s="4">
        <f>Personnel!M51</f>
        <v>1</v>
      </c>
      <c r="B51" s="5" t="str">
        <f>Personnel!D51</f>
        <v>Personnel médical</v>
      </c>
      <c r="C51" s="5" t="str">
        <f>Personnel!B51&amp;" "&amp;Personnel!C51</f>
        <v>Marla Ward</v>
      </c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</row>
    <row r="52" spans="1:77" x14ac:dyDescent="0.3">
      <c r="A52" s="4">
        <f>Personnel!M52</f>
        <v>1</v>
      </c>
      <c r="B52" s="5" t="str">
        <f>Personnel!D52</f>
        <v>Personnel médical</v>
      </c>
      <c r="C52" s="5" t="str">
        <f>Personnel!B52&amp;" "&amp;Personnel!C52</f>
        <v>Merlin Zak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</row>
    <row r="53" spans="1:77" x14ac:dyDescent="0.3">
      <c r="A53" s="4">
        <f>Personnel!M53</f>
        <v>3</v>
      </c>
      <c r="B53" s="5" t="str">
        <f>Personnel!D53</f>
        <v>Personnel médical</v>
      </c>
      <c r="C53" s="5" t="str">
        <f>Personnel!B53&amp;" "&amp;Personnel!C53</f>
        <v>Esteve Gerrard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</row>
    <row r="54" spans="1:77" x14ac:dyDescent="0.3">
      <c r="A54" s="4">
        <f>Personnel!M54</f>
        <v>3</v>
      </c>
      <c r="B54" s="5" t="str">
        <f>Personnel!D54</f>
        <v>Personnel médical</v>
      </c>
      <c r="C54" s="5" t="str">
        <f>Personnel!B54&amp;" "&amp;Personnel!C54</f>
        <v>Solvig Nerissa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</row>
    <row r="55" spans="1:77" x14ac:dyDescent="0.3">
      <c r="A55" s="4">
        <f>Personnel!M55</f>
        <v>3</v>
      </c>
      <c r="B55" s="5" t="str">
        <f>Personnel!D55</f>
        <v>Personnel médical</v>
      </c>
      <c r="C55" s="5" t="str">
        <f>Personnel!B55&amp;" "&amp;Personnel!C55</f>
        <v>Cináed Rada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</row>
    <row r="56" spans="1:77" x14ac:dyDescent="0.3">
      <c r="A56" s="4">
        <f>Personnel!M56</f>
        <v>2</v>
      </c>
      <c r="B56" s="5" t="str">
        <f>Personnel!D56</f>
        <v>Personnel médical</v>
      </c>
      <c r="C56" s="5" t="str">
        <f>Personnel!B56&amp;" "&amp;Personnel!C56</f>
        <v>Laraine Mykhaylo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</row>
    <row r="57" spans="1:77" x14ac:dyDescent="0.3">
      <c r="A57" s="4">
        <f>Personnel!M57</f>
        <v>1</v>
      </c>
      <c r="B57" s="5" t="str">
        <f>Personnel!D57</f>
        <v>Personnel médical</v>
      </c>
      <c r="C57" s="5" t="str">
        <f>Personnel!B57&amp;" "&amp;Personnel!C57</f>
        <v>Glyn Ruaidrí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</row>
    <row r="58" spans="1:77" x14ac:dyDescent="0.3">
      <c r="A58" s="4">
        <f>Personnel!M58</f>
        <v>3</v>
      </c>
      <c r="B58" s="5" t="str">
        <f>Personnel!D58</f>
        <v>Personnel médical</v>
      </c>
      <c r="C58" s="5" t="str">
        <f>Personnel!B58&amp;" "&amp;Personnel!C58</f>
        <v>Confucius Ofydd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</row>
    <row r="59" spans="1:77" x14ac:dyDescent="0.3">
      <c r="A59" s="4">
        <f>Personnel!M59</f>
        <v>1</v>
      </c>
      <c r="B59" s="5" t="str">
        <f>Personnel!D59</f>
        <v>Personnel médical</v>
      </c>
      <c r="C59" s="5" t="str">
        <f>Personnel!B59&amp;" "&amp;Personnel!C59</f>
        <v>Melor Suzie</v>
      </c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</row>
    <row r="60" spans="1:77" x14ac:dyDescent="0.3">
      <c r="A60" s="4">
        <f>Personnel!M60</f>
        <v>1</v>
      </c>
      <c r="B60" s="5" t="str">
        <f>Personnel!D60</f>
        <v>Personnel médical</v>
      </c>
      <c r="C60" s="5" t="str">
        <f>Personnel!B60&amp;" "&amp;Personnel!C60</f>
        <v>Faunus Lindsey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</row>
    <row r="61" spans="1:77" x14ac:dyDescent="0.3">
      <c r="A61" s="4">
        <f>Personnel!M61</f>
        <v>3</v>
      </c>
      <c r="B61" s="5" t="str">
        <f>Personnel!D61</f>
        <v>Personnel médical</v>
      </c>
      <c r="C61" s="5" t="str">
        <f>Personnel!B61&amp;" "&amp;Personnel!C61</f>
        <v>Dido Ciaran</v>
      </c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</row>
    <row r="62" spans="1:77" x14ac:dyDescent="0.3">
      <c r="A62" s="4">
        <f>Personnel!M62</f>
        <v>1</v>
      </c>
      <c r="B62" s="5" t="str">
        <f>Personnel!D62</f>
        <v>Personnel médical</v>
      </c>
      <c r="C62" s="5" t="str">
        <f>Personnel!B62&amp;" "&amp;Personnel!C62</f>
        <v>Benjamín Merry</v>
      </c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</row>
    <row r="63" spans="1:77" x14ac:dyDescent="0.3">
      <c r="A63" s="4">
        <f>Personnel!M63</f>
        <v>1</v>
      </c>
      <c r="B63" s="5" t="str">
        <f>Personnel!D63</f>
        <v>Personnel médical</v>
      </c>
      <c r="C63" s="5" t="str">
        <f>Personnel!B63&amp;" "&amp;Personnel!C63</f>
        <v>Steen Mateo</v>
      </c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</row>
    <row r="64" spans="1:77" x14ac:dyDescent="0.3">
      <c r="A64" s="4">
        <f>Personnel!M64</f>
        <v>2</v>
      </c>
      <c r="B64" s="5" t="str">
        <f>Personnel!D64</f>
        <v>Personnel médical</v>
      </c>
      <c r="C64" s="5" t="str">
        <f>Personnel!B64&amp;" "&amp;Personnel!C64</f>
        <v>Shari Fridtjof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</row>
    <row r="65" spans="1:77" x14ac:dyDescent="0.3">
      <c r="A65" s="4">
        <f>Personnel!M65</f>
        <v>2</v>
      </c>
      <c r="B65" s="5" t="str">
        <f>Personnel!D65</f>
        <v>Personnel médical</v>
      </c>
      <c r="C65" s="5" t="str">
        <f>Personnel!B65&amp;" "&amp;Personnel!C65</f>
        <v>Paulene Alease</v>
      </c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</row>
    <row r="66" spans="1:77" x14ac:dyDescent="0.3">
      <c r="A66" s="4">
        <f>Personnel!M66</f>
        <v>1</v>
      </c>
      <c r="B66" s="5" t="str">
        <f>Personnel!D66</f>
        <v>Personnel médical</v>
      </c>
      <c r="C66" s="5" t="str">
        <f>Personnel!B66&amp;" "&amp;Personnel!C66</f>
        <v>Ásdís Amie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</row>
    <row r="67" spans="1:77" x14ac:dyDescent="0.3">
      <c r="A67" s="4">
        <f>Personnel!M67</f>
        <v>1</v>
      </c>
      <c r="B67" s="5" t="str">
        <f>Personnel!D67</f>
        <v>Personnel médical</v>
      </c>
      <c r="C67" s="5" t="str">
        <f>Personnel!B67&amp;" "&amp;Personnel!C67</f>
        <v>Rufino Jaylin</v>
      </c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</row>
    <row r="68" spans="1:77" x14ac:dyDescent="0.3">
      <c r="A68" s="4">
        <f>Personnel!M68</f>
        <v>3</v>
      </c>
      <c r="B68" s="5" t="str">
        <f>Personnel!D68</f>
        <v>Personnel médical</v>
      </c>
      <c r="C68" s="5" t="str">
        <f>Personnel!B68&amp;" "&amp;Personnel!C68</f>
        <v>Tormod Joost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</row>
    <row r="69" spans="1:77" x14ac:dyDescent="0.3">
      <c r="A69" s="4">
        <f>Personnel!M69</f>
        <v>3</v>
      </c>
      <c r="B69" s="5" t="str">
        <f>Personnel!D69</f>
        <v>Personnel médical</v>
      </c>
      <c r="C69" s="5" t="str">
        <f>Personnel!B69&amp;" "&amp;Personnel!C69</f>
        <v>Ivanna Gull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</row>
    <row r="70" spans="1:77" x14ac:dyDescent="0.3">
      <c r="A70" s="4">
        <f>Personnel!M70</f>
        <v>2</v>
      </c>
      <c r="B70" s="5" t="str">
        <f>Personnel!D70</f>
        <v>Personnel médical</v>
      </c>
      <c r="C70" s="5" t="str">
        <f>Personnel!B70&amp;" "&amp;Personnel!C70</f>
        <v>Larisa Otis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</row>
    <row r="71" spans="1:77" x14ac:dyDescent="0.3">
      <c r="A71" s="4">
        <f>Personnel!M71</f>
        <v>3</v>
      </c>
      <c r="B71" s="5" t="str">
        <f>Personnel!D71</f>
        <v>Personnel médical</v>
      </c>
      <c r="C71" s="5" t="str">
        <f>Personnel!B71&amp;" "&amp;Personnel!C71</f>
        <v>Melaina Eddie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</row>
    <row r="72" spans="1:77" x14ac:dyDescent="0.3">
      <c r="A72" s="4">
        <f>Personnel!M72</f>
        <v>1</v>
      </c>
      <c r="B72" s="5" t="str">
        <f>Personnel!D72</f>
        <v>Personnel médical</v>
      </c>
      <c r="C72" s="5" t="str">
        <f>Personnel!B72&amp;" "&amp;Personnel!C72</f>
        <v>Ffion Timoteus</v>
      </c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</row>
    <row r="73" spans="1:77" x14ac:dyDescent="0.3">
      <c r="A73" s="4">
        <f>Personnel!M73</f>
        <v>3</v>
      </c>
      <c r="B73" s="5" t="str">
        <f>Personnel!D73</f>
        <v>Personnel médical</v>
      </c>
      <c r="C73" s="5" t="str">
        <f>Personnel!B73&amp;" "&amp;Personnel!C73</f>
        <v>Arcadia Veera</v>
      </c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</row>
    <row r="74" spans="1:77" x14ac:dyDescent="0.3">
      <c r="A74" s="4">
        <f>Personnel!M74</f>
        <v>3</v>
      </c>
      <c r="B74" s="5" t="str">
        <f>Personnel!D74</f>
        <v>Personnel médical</v>
      </c>
      <c r="C74" s="5" t="str">
        <f>Personnel!B74&amp;" "&amp;Personnel!C74</f>
        <v>Amadi Tuvya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</row>
    <row r="75" spans="1:77" x14ac:dyDescent="0.3">
      <c r="A75" s="4">
        <f>Personnel!M75</f>
        <v>2</v>
      </c>
      <c r="B75" s="5" t="str">
        <f>Personnel!D75</f>
        <v>Personnel médical</v>
      </c>
      <c r="C75" s="5" t="str">
        <f>Personnel!B75&amp;" "&amp;Personnel!C75</f>
        <v>Morgan Madeline</v>
      </c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</row>
    <row r="76" spans="1:77" x14ac:dyDescent="0.3">
      <c r="A76" s="4">
        <f>Personnel!M76</f>
        <v>1</v>
      </c>
      <c r="B76" s="5" t="str">
        <f>Personnel!D76</f>
        <v>Personnel médical</v>
      </c>
      <c r="C76" s="5" t="str">
        <f>Personnel!B76&amp;" "&amp;Personnel!C76</f>
        <v>Gry Steenie</v>
      </c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</row>
    <row r="77" spans="1:77" x14ac:dyDescent="0.3">
      <c r="A77" s="4">
        <f>Personnel!M77</f>
        <v>2</v>
      </c>
      <c r="B77" s="5" t="str">
        <f>Personnel!D77</f>
        <v>Personnel médical</v>
      </c>
      <c r="C77" s="5" t="str">
        <f>Personnel!B77&amp;" "&amp;Personnel!C77</f>
        <v>Miranda Tina</v>
      </c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</row>
    <row r="78" spans="1:77" x14ac:dyDescent="0.3">
      <c r="A78" s="4">
        <f>Personnel!M78</f>
        <v>2</v>
      </c>
      <c r="B78" s="5" t="str">
        <f>Personnel!D78</f>
        <v>Personnel médical</v>
      </c>
      <c r="C78" s="5" t="str">
        <f>Personnel!B78&amp;" "&amp;Personnel!C78</f>
        <v>Zusman Zosimos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</row>
    <row r="79" spans="1:77" x14ac:dyDescent="0.3">
      <c r="A79" s="4">
        <f>Personnel!M79</f>
        <v>3</v>
      </c>
      <c r="B79" s="5" t="str">
        <f>Personnel!D79</f>
        <v>Personnel médical</v>
      </c>
      <c r="C79" s="5" t="str">
        <f>Personnel!B79&amp;" "&amp;Personnel!C79</f>
        <v>Wojciech Fachtna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</row>
    <row r="80" spans="1:77" x14ac:dyDescent="0.3">
      <c r="A80" s="4">
        <f>Personnel!M80</f>
        <v>1</v>
      </c>
      <c r="B80" s="5" t="str">
        <f>Personnel!D80</f>
        <v>Personnel médical</v>
      </c>
      <c r="C80" s="5" t="str">
        <f>Personnel!B80&amp;" "&amp;Personnel!C80</f>
        <v>Fikriyya Herbert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</row>
    <row r="81" spans="1:77" x14ac:dyDescent="0.3">
      <c r="A81" s="4">
        <f>Personnel!M81</f>
        <v>3</v>
      </c>
      <c r="B81" s="5" t="str">
        <f>Personnel!D81</f>
        <v>Personnel médical</v>
      </c>
      <c r="C81" s="5" t="str">
        <f>Personnel!B81&amp;" "&amp;Personnel!C81</f>
        <v>Fryderyk Pascuala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</row>
    <row r="82" spans="1:77" x14ac:dyDescent="0.3">
      <c r="A82" s="4">
        <f>Personnel!M82</f>
        <v>1</v>
      </c>
      <c r="B82" s="5" t="str">
        <f>Personnel!D82</f>
        <v>Personnel médical</v>
      </c>
      <c r="C82" s="5" t="str">
        <f>Personnel!B82&amp;" "&amp;Personnel!C82</f>
        <v>Jacqui Kama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</row>
    <row r="83" spans="1:77" x14ac:dyDescent="0.3">
      <c r="A83" s="4">
        <f>Personnel!M83</f>
        <v>1</v>
      </c>
      <c r="B83" s="5" t="str">
        <f>Personnel!D83</f>
        <v>Personnel médical</v>
      </c>
      <c r="C83" s="5" t="str">
        <f>Personnel!B83&amp;" "&amp;Personnel!C83</f>
        <v>Pearle Reynaud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</row>
    <row r="84" spans="1:77" x14ac:dyDescent="0.3">
      <c r="A84" s="4">
        <f>Personnel!M84</f>
        <v>1</v>
      </c>
      <c r="B84" s="5" t="str">
        <f>Personnel!D84</f>
        <v>Personnel médical</v>
      </c>
      <c r="C84" s="5" t="str">
        <f>Personnel!B84&amp;" "&amp;Personnel!C84</f>
        <v>Linford Yaffa</v>
      </c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</row>
    <row r="85" spans="1:77" x14ac:dyDescent="0.3">
      <c r="A85" s="4">
        <f>Personnel!M85</f>
        <v>2</v>
      </c>
      <c r="B85" s="5" t="str">
        <f>Personnel!D85</f>
        <v>Personnel médical</v>
      </c>
      <c r="C85" s="5" t="str">
        <f>Personnel!B85&amp;" "&amp;Personnel!C85</f>
        <v>Przemo Hedda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</row>
    <row r="86" spans="1:77" x14ac:dyDescent="0.3">
      <c r="A86" s="4">
        <f>Personnel!M86</f>
        <v>2</v>
      </c>
      <c r="B86" s="5" t="str">
        <f>Personnel!D86</f>
        <v>Personnel médical</v>
      </c>
      <c r="C86" s="5" t="str">
        <f>Personnel!B86&amp;" "&amp;Personnel!C86</f>
        <v>Cheryl Damiano</v>
      </c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</row>
    <row r="87" spans="1:77" x14ac:dyDescent="0.3">
      <c r="A87" s="4">
        <f>Personnel!M87</f>
        <v>2</v>
      </c>
      <c r="B87" s="5" t="str">
        <f>Personnel!D87</f>
        <v>Personnel médical</v>
      </c>
      <c r="C87" s="5" t="str">
        <f>Personnel!B87&amp;" "&amp;Personnel!C87</f>
        <v>Sapphire Mahavir</v>
      </c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</row>
    <row r="88" spans="1:77" x14ac:dyDescent="0.3">
      <c r="A88" s="4">
        <f>Personnel!M88</f>
        <v>1</v>
      </c>
      <c r="B88" s="5" t="str">
        <f>Personnel!D88</f>
        <v>Personnel médical</v>
      </c>
      <c r="C88" s="5" t="str">
        <f>Personnel!B88&amp;" "&amp;Personnel!C88</f>
        <v>Vilmar Eleanor</v>
      </c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</row>
    <row r="89" spans="1:77" x14ac:dyDescent="0.3">
      <c r="A89" s="4">
        <f>Personnel!M89</f>
        <v>1</v>
      </c>
      <c r="B89" s="5" t="str">
        <f>Personnel!D89</f>
        <v>Personnel médical</v>
      </c>
      <c r="C89" s="5" t="str">
        <f>Personnel!B89&amp;" "&amp;Personnel!C89</f>
        <v>Eduard Madoline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</row>
    <row r="90" spans="1:77" x14ac:dyDescent="0.3">
      <c r="A90" s="4">
        <f>Personnel!M90</f>
        <v>3</v>
      </c>
      <c r="B90" s="5" t="str">
        <f>Personnel!D90</f>
        <v>Personnel médical</v>
      </c>
      <c r="C90" s="5" t="str">
        <f>Personnel!B90&amp;" "&amp;Personnel!C90</f>
        <v>Hammond Lan</v>
      </c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</row>
    <row r="91" spans="1:77" x14ac:dyDescent="0.3">
      <c r="A91" s="4">
        <f>Personnel!M91</f>
        <v>2</v>
      </c>
      <c r="B91" s="5" t="str">
        <f>Personnel!D91</f>
        <v>Personnel médical</v>
      </c>
      <c r="C91" s="5" t="str">
        <f>Personnel!B91&amp;" "&amp;Personnel!C91</f>
        <v>Ömer Ronald</v>
      </c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</row>
    <row r="92" spans="1:77" x14ac:dyDescent="0.3">
      <c r="A92" s="4">
        <f>Personnel!M92</f>
        <v>2</v>
      </c>
      <c r="B92" s="5" t="str">
        <f>Personnel!D92</f>
        <v>Personnel médical</v>
      </c>
      <c r="C92" s="5" t="str">
        <f>Personnel!B92&amp;" "&amp;Personnel!C92</f>
        <v>Eoforhild Genoveffa</v>
      </c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</row>
    <row r="93" spans="1:77" x14ac:dyDescent="0.3">
      <c r="A93" s="4">
        <f>Personnel!M93</f>
        <v>2</v>
      </c>
      <c r="B93" s="5" t="str">
        <f>Personnel!D93</f>
        <v>Personnel médical</v>
      </c>
      <c r="C93" s="5" t="str">
        <f>Personnel!B93&amp;" "&amp;Personnel!C93</f>
        <v>Sarai Reggie</v>
      </c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</row>
    <row r="94" spans="1:77" x14ac:dyDescent="0.3">
      <c r="A94" s="4">
        <f>Personnel!M94</f>
        <v>2</v>
      </c>
      <c r="B94" s="5" t="str">
        <f>Personnel!D94</f>
        <v>Personnel médical</v>
      </c>
      <c r="C94" s="5" t="str">
        <f>Personnel!B94&amp;" "&amp;Personnel!C94</f>
        <v>Éadaoin Baal</v>
      </c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</row>
    <row r="95" spans="1:77" x14ac:dyDescent="0.3">
      <c r="A95" s="4">
        <f>Personnel!M95</f>
        <v>1</v>
      </c>
      <c r="B95" s="5" t="str">
        <f>Personnel!D95</f>
        <v>Personnel médical</v>
      </c>
      <c r="C95" s="5" t="str">
        <f>Personnel!B95&amp;" "&amp;Personnel!C95</f>
        <v>Sophie Carlton</v>
      </c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</row>
    <row r="96" spans="1:77" x14ac:dyDescent="0.3">
      <c r="A96" s="4">
        <f>Personnel!M96</f>
        <v>3</v>
      </c>
      <c r="B96" s="5" t="str">
        <f>Personnel!D96</f>
        <v>Personnel médical</v>
      </c>
      <c r="C96" s="5" t="str">
        <f>Personnel!B96&amp;" "&amp;Personnel!C96</f>
        <v>Spiros Sylvana</v>
      </c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</row>
    <row r="97" spans="1:77" x14ac:dyDescent="0.3">
      <c r="A97" s="4">
        <f>Personnel!M97</f>
        <v>3</v>
      </c>
      <c r="B97" s="5" t="str">
        <f>Personnel!D97</f>
        <v>Personnel médical</v>
      </c>
      <c r="C97" s="5" t="str">
        <f>Personnel!B97&amp;" "&amp;Personnel!C97</f>
        <v>Sancho Christophe</v>
      </c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</row>
    <row r="98" spans="1:77" x14ac:dyDescent="0.3">
      <c r="A98" s="4">
        <f>Personnel!M98</f>
        <v>1</v>
      </c>
      <c r="B98" s="5" t="str">
        <f>Personnel!D98</f>
        <v>Personnel médical</v>
      </c>
      <c r="C98" s="5" t="str">
        <f>Personnel!B98&amp;" "&amp;Personnel!C98</f>
        <v>Joab Jaumet</v>
      </c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</row>
    <row r="99" spans="1:77" x14ac:dyDescent="0.3">
      <c r="A99" s="4">
        <f>Personnel!M99</f>
        <v>3</v>
      </c>
      <c r="B99" s="5" t="str">
        <f>Personnel!D99</f>
        <v>Personnel médical</v>
      </c>
      <c r="C99" s="5" t="str">
        <f>Personnel!B99&amp;" "&amp;Personnel!C99</f>
        <v>Narcisse Iqbal</v>
      </c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</row>
    <row r="100" spans="1:77" x14ac:dyDescent="0.3">
      <c r="A100" s="4">
        <f>Personnel!M100</f>
        <v>1</v>
      </c>
      <c r="B100" s="5" t="str">
        <f>Personnel!D100</f>
        <v>Personnel médical</v>
      </c>
      <c r="C100" s="5" t="str">
        <f>Personnel!B100&amp;" "&amp;Personnel!C100</f>
        <v>Kristine Ngai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</row>
    <row r="101" spans="1:77" x14ac:dyDescent="0.3">
      <c r="A101" s="4">
        <f>Personnel!M101</f>
        <v>1</v>
      </c>
      <c r="B101" s="5" t="str">
        <f>Personnel!D101</f>
        <v>Personnel médical</v>
      </c>
      <c r="C101" s="5" t="str">
        <f>Personnel!B101&amp;" "&amp;Personnel!C101</f>
        <v>Beatrice Ralf</v>
      </c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</row>
    <row r="102" spans="1:77" x14ac:dyDescent="0.3">
      <c r="A102" s="4">
        <f>Personnel!M102</f>
        <v>1</v>
      </c>
      <c r="B102" s="5" t="str">
        <f>Personnel!D102</f>
        <v>Personnel médical</v>
      </c>
      <c r="C102" s="5" t="str">
        <f>Personnel!B102&amp;" "&amp;Personnel!C102</f>
        <v>Ranald Grover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</row>
    <row r="103" spans="1:77" x14ac:dyDescent="0.3">
      <c r="A103" s="4">
        <f>Personnel!M103</f>
        <v>3</v>
      </c>
      <c r="B103" s="5" t="str">
        <f>Personnel!D103</f>
        <v>Personnel médical</v>
      </c>
      <c r="C103" s="5" t="str">
        <f>Personnel!B103&amp;" "&amp;Personnel!C103</f>
        <v>Fatima Kourtney</v>
      </c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</row>
    <row r="104" spans="1:77" x14ac:dyDescent="0.3">
      <c r="A104" s="4">
        <f>Personnel!M104</f>
        <v>1</v>
      </c>
      <c r="B104" s="5" t="str">
        <f>Personnel!D104</f>
        <v>Personnel médical</v>
      </c>
      <c r="C104" s="5" t="str">
        <f>Personnel!B104&amp;" "&amp;Personnel!C104</f>
        <v>Chad Theodoric</v>
      </c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</row>
    <row r="105" spans="1:77" x14ac:dyDescent="0.3">
      <c r="A105" s="4">
        <f>Personnel!M105</f>
        <v>3</v>
      </c>
      <c r="B105" s="5" t="str">
        <f>Personnel!D105</f>
        <v>Personnel médical</v>
      </c>
      <c r="C105" s="5" t="str">
        <f>Personnel!B105&amp;" "&amp;Personnel!C105</f>
        <v>Caden Dominik</v>
      </c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</row>
    <row r="106" spans="1:77" x14ac:dyDescent="0.3">
      <c r="A106" s="4">
        <f>Personnel!M106</f>
        <v>1</v>
      </c>
      <c r="B106" s="5" t="str">
        <f>Personnel!D106</f>
        <v>Personnel médical</v>
      </c>
      <c r="C106" s="5" t="str">
        <f>Personnel!B106&amp;" "&amp;Personnel!C106</f>
        <v>Oleksander Aatto</v>
      </c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</row>
    <row r="107" spans="1:77" x14ac:dyDescent="0.3">
      <c r="A107" s="4">
        <f>Personnel!M107</f>
        <v>3</v>
      </c>
      <c r="B107" s="5" t="str">
        <f>Personnel!D107</f>
        <v>Personnel médical</v>
      </c>
      <c r="C107" s="5" t="str">
        <f>Personnel!B107&amp;" "&amp;Personnel!C107</f>
        <v>Thekla Maha</v>
      </c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</row>
    <row r="108" spans="1:77" x14ac:dyDescent="0.3">
      <c r="A108" s="4">
        <f>Personnel!M108</f>
        <v>2</v>
      </c>
      <c r="B108" s="5" t="str">
        <f>Personnel!D108</f>
        <v>Personnel médical</v>
      </c>
      <c r="C108" s="5" t="str">
        <f>Personnel!B108&amp;" "&amp;Personnel!C108</f>
        <v>Hashim Khadiga</v>
      </c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</row>
    <row r="109" spans="1:77" x14ac:dyDescent="0.3">
      <c r="A109" s="4">
        <f>Personnel!M109</f>
        <v>1</v>
      </c>
      <c r="B109" s="5" t="str">
        <f>Personnel!D109</f>
        <v>Personnel médical</v>
      </c>
      <c r="C109" s="5" t="str">
        <f>Personnel!B109&amp;" "&amp;Personnel!C109</f>
        <v>Philippa Artemisia</v>
      </c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</row>
    <row r="110" spans="1:77" x14ac:dyDescent="0.3">
      <c r="A110" s="4">
        <f>Personnel!M110</f>
        <v>1</v>
      </c>
      <c r="B110" s="5" t="str">
        <f>Personnel!D110</f>
        <v>Personnel médical</v>
      </c>
      <c r="C110" s="5" t="str">
        <f>Personnel!B110&amp;" "&amp;Personnel!C110</f>
        <v>Shiphrah Eluned</v>
      </c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</row>
    <row r="111" spans="1:77" x14ac:dyDescent="0.3">
      <c r="A111" s="4">
        <f>Personnel!M111</f>
        <v>1</v>
      </c>
      <c r="B111" s="5" t="str">
        <f>Personnel!D111</f>
        <v>Personnel médical</v>
      </c>
      <c r="C111" s="5" t="str">
        <f>Personnel!B111&amp;" "&amp;Personnel!C111</f>
        <v>Vince Tuija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</row>
    <row r="112" spans="1:77" x14ac:dyDescent="0.3">
      <c r="A112" s="4">
        <f>Personnel!M112</f>
        <v>1</v>
      </c>
      <c r="B112" s="5" t="str">
        <f>Personnel!D112</f>
        <v>Personnel médical</v>
      </c>
      <c r="C112" s="5" t="str">
        <f>Personnel!B112&amp;" "&amp;Personnel!C112</f>
        <v>Bailey Greet</v>
      </c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</row>
    <row r="113" spans="1:77" x14ac:dyDescent="0.3">
      <c r="A113" s="4">
        <f>Personnel!M113</f>
        <v>1</v>
      </c>
      <c r="B113" s="5" t="str">
        <f>Personnel!D113</f>
        <v>Personnel médical</v>
      </c>
      <c r="C113" s="5" t="str">
        <f>Personnel!B113&amp;" "&amp;Personnel!C113</f>
        <v>Herk Bernadette</v>
      </c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</row>
    <row r="114" spans="1:77" x14ac:dyDescent="0.3">
      <c r="A114" s="4">
        <f>Personnel!M114</f>
        <v>2</v>
      </c>
      <c r="B114" s="5" t="str">
        <f>Personnel!D114</f>
        <v>Personnel médical</v>
      </c>
      <c r="C114" s="5" t="str">
        <f>Personnel!B114&amp;" "&amp;Personnel!C114</f>
        <v>Boyd Lanford</v>
      </c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</row>
    <row r="115" spans="1:77" x14ac:dyDescent="0.3">
      <c r="A115" s="4">
        <f>Personnel!M115</f>
        <v>2</v>
      </c>
      <c r="B115" s="5" t="str">
        <f>Personnel!D115</f>
        <v>Personnel médical</v>
      </c>
      <c r="C115" s="5" t="str">
        <f>Personnel!B115&amp;" "&amp;Personnel!C115</f>
        <v>Delia Fritjof</v>
      </c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</row>
    <row r="116" spans="1:77" x14ac:dyDescent="0.3">
      <c r="A116" s="4">
        <f>Personnel!M116</f>
        <v>2</v>
      </c>
      <c r="B116" s="5" t="str">
        <f>Personnel!D116</f>
        <v>Personnel médical</v>
      </c>
      <c r="C116" s="5" t="str">
        <f>Personnel!B116&amp;" "&amp;Personnel!C116</f>
        <v>Foka Akeem</v>
      </c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</row>
    <row r="117" spans="1:77" x14ac:dyDescent="0.3">
      <c r="A117" s="4">
        <f>Personnel!M117</f>
        <v>2</v>
      </c>
      <c r="B117" s="5" t="str">
        <f>Personnel!D117</f>
        <v>Personnel médical</v>
      </c>
      <c r="C117" s="5" t="str">
        <f>Personnel!B117&amp;" "&amp;Personnel!C117</f>
        <v>Sorcha Peni</v>
      </c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</row>
    <row r="118" spans="1:77" x14ac:dyDescent="0.3">
      <c r="A118" s="4">
        <f>Personnel!M118</f>
        <v>2</v>
      </c>
      <c r="B118" s="5" t="str">
        <f>Personnel!D118</f>
        <v>Personnel médical</v>
      </c>
      <c r="C118" s="5" t="str">
        <f>Personnel!B118&amp;" "&amp;Personnel!C118</f>
        <v>Antony Abegail</v>
      </c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</row>
    <row r="119" spans="1:77" x14ac:dyDescent="0.3">
      <c r="A119" s="4">
        <f>Personnel!M119</f>
        <v>3</v>
      </c>
      <c r="B119" s="5" t="str">
        <f>Personnel!D119</f>
        <v>Personnel médical</v>
      </c>
      <c r="C119" s="5" t="str">
        <f>Personnel!B119&amp;" "&amp;Personnel!C119</f>
        <v>Isabel Venceslao</v>
      </c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</row>
    <row r="120" spans="1:77" x14ac:dyDescent="0.3">
      <c r="A120" s="4">
        <f>Personnel!M120</f>
        <v>1</v>
      </c>
      <c r="B120" s="5" t="str">
        <f>Personnel!D120</f>
        <v>Personnel médical</v>
      </c>
      <c r="C120" s="5" t="str">
        <f>Personnel!B120&amp;" "&amp;Personnel!C120</f>
        <v>Marla Ward</v>
      </c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</row>
    <row r="121" spans="1:77" x14ac:dyDescent="0.3">
      <c r="A121" s="4">
        <f>Personnel!M121</f>
        <v>1</v>
      </c>
      <c r="B121" s="5" t="str">
        <f>Personnel!D121</f>
        <v>Personnel médical</v>
      </c>
      <c r="C121" s="5" t="str">
        <f>Personnel!B121&amp;" "&amp;Personnel!C121</f>
        <v>Merlin Zak</v>
      </c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</row>
    <row r="122" spans="1:77" x14ac:dyDescent="0.3">
      <c r="A122" s="4">
        <f>Personnel!M122</f>
        <v>3</v>
      </c>
      <c r="B122" s="5" t="str">
        <f>Personnel!D122</f>
        <v>Personnel médical</v>
      </c>
      <c r="C122" s="5" t="str">
        <f>Personnel!B122&amp;" "&amp;Personnel!C122</f>
        <v>Esteve Gerrard</v>
      </c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</row>
    <row r="123" spans="1:77" x14ac:dyDescent="0.3">
      <c r="A123" s="4">
        <f>Personnel!M123</f>
        <v>3</v>
      </c>
      <c r="B123" s="5" t="str">
        <f>Personnel!D123</f>
        <v>Personnel médical</v>
      </c>
      <c r="C123" s="5" t="str">
        <f>Personnel!B123&amp;" "&amp;Personnel!C123</f>
        <v>Solvig Nerissa</v>
      </c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</row>
    <row r="124" spans="1:77" x14ac:dyDescent="0.3">
      <c r="A124" s="4">
        <f>Personnel!M124</f>
        <v>3</v>
      </c>
      <c r="B124" s="5" t="str">
        <f>Personnel!D124</f>
        <v>Personnel médical</v>
      </c>
      <c r="C124" s="5" t="str">
        <f>Personnel!B124&amp;" "&amp;Personnel!C124</f>
        <v>Cináed Rada</v>
      </c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</row>
    <row r="125" spans="1:77" x14ac:dyDescent="0.3">
      <c r="A125" s="4">
        <f>Personnel!M125</f>
        <v>2</v>
      </c>
      <c r="B125" s="5" t="str">
        <f>Personnel!D125</f>
        <v>Personnel médical</v>
      </c>
      <c r="C125" s="5" t="str">
        <f>Personnel!B125&amp;" "&amp;Personnel!C125</f>
        <v>Laraine Mykhaylo</v>
      </c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</row>
    <row r="126" spans="1:77" x14ac:dyDescent="0.3">
      <c r="A126" s="4">
        <f>Personnel!M126</f>
        <v>1</v>
      </c>
      <c r="B126" s="5" t="str">
        <f>Personnel!D126</f>
        <v>Personnel médical</v>
      </c>
      <c r="C126" s="5" t="str">
        <f>Personnel!B126&amp;" "&amp;Personnel!C126</f>
        <v>Glyn Ruaidrí</v>
      </c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</row>
    <row r="127" spans="1:77" x14ac:dyDescent="0.3">
      <c r="A127" s="4">
        <f>Personnel!M127</f>
        <v>3</v>
      </c>
      <c r="B127" s="5" t="str">
        <f>Personnel!D127</f>
        <v>Personnel médical</v>
      </c>
      <c r="C127" s="5" t="str">
        <f>Personnel!B127&amp;" "&amp;Personnel!C127</f>
        <v>Confucius Ofydd</v>
      </c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</row>
    <row r="128" spans="1:77" x14ac:dyDescent="0.3">
      <c r="A128" s="4">
        <f>Personnel!M128</f>
        <v>1</v>
      </c>
      <c r="B128" s="5" t="str">
        <f>Personnel!D128</f>
        <v>Personnel médical</v>
      </c>
      <c r="C128" s="5" t="str">
        <f>Personnel!B128&amp;" "&amp;Personnel!C128</f>
        <v>Melor Suzie</v>
      </c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</row>
    <row r="129" spans="1:77" x14ac:dyDescent="0.3">
      <c r="A129" s="4">
        <f>Personnel!M129</f>
        <v>1</v>
      </c>
      <c r="B129" s="5" t="str">
        <f>Personnel!D129</f>
        <v>Personnel médical</v>
      </c>
      <c r="C129" s="5" t="str">
        <f>Personnel!B129&amp;" "&amp;Personnel!C129</f>
        <v>Faunus Lindsey</v>
      </c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</row>
    <row r="130" spans="1:77" x14ac:dyDescent="0.3">
      <c r="A130" s="4">
        <f>Personnel!M130</f>
        <v>3</v>
      </c>
      <c r="B130" s="5" t="str">
        <f>Personnel!D130</f>
        <v>Personnel médical</v>
      </c>
      <c r="C130" s="5" t="str">
        <f>Personnel!B130&amp;" "&amp;Personnel!C130</f>
        <v>Dido Ciaran</v>
      </c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</row>
    <row r="131" spans="1:77" x14ac:dyDescent="0.3">
      <c r="A131" s="4">
        <f>Personnel!M131</f>
        <v>1</v>
      </c>
      <c r="B131" s="5" t="str">
        <f>Personnel!D131</f>
        <v>Personnel médical</v>
      </c>
      <c r="C131" s="5" t="str">
        <f>Personnel!B131&amp;" "&amp;Personnel!C131</f>
        <v>Benjamín Merry</v>
      </c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</row>
    <row r="132" spans="1:77" x14ac:dyDescent="0.3">
      <c r="A132" s="4">
        <f>Personnel!M132</f>
        <v>1</v>
      </c>
      <c r="B132" s="5" t="str">
        <f>Personnel!D132</f>
        <v>Personnel médical</v>
      </c>
      <c r="C132" s="5" t="str">
        <f>Personnel!B132&amp;" "&amp;Personnel!C132</f>
        <v>Steen Mateo</v>
      </c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</row>
    <row r="133" spans="1:77" x14ac:dyDescent="0.3">
      <c r="A133" s="4">
        <f>Personnel!M133</f>
        <v>2</v>
      </c>
      <c r="B133" s="5" t="str">
        <f>Personnel!D133</f>
        <v>Personnel médical</v>
      </c>
      <c r="C133" s="5" t="str">
        <f>Personnel!B133&amp;" "&amp;Personnel!C133</f>
        <v>Shari Fridtjof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</row>
    <row r="134" spans="1:77" x14ac:dyDescent="0.3">
      <c r="A134" s="4">
        <f>Personnel!M134</f>
        <v>2</v>
      </c>
      <c r="B134" s="5" t="str">
        <f>Personnel!D134</f>
        <v>Personnel médical</v>
      </c>
      <c r="C134" s="5" t="str">
        <f>Personnel!B134&amp;" "&amp;Personnel!C134</f>
        <v>Paulene Alease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</row>
    <row r="135" spans="1:77" x14ac:dyDescent="0.3">
      <c r="A135" s="4">
        <f>Personnel!M135</f>
        <v>1</v>
      </c>
      <c r="B135" s="5" t="str">
        <f>Personnel!D135</f>
        <v>Personnel médical</v>
      </c>
      <c r="C135" s="5" t="str">
        <f>Personnel!B135&amp;" "&amp;Personnel!C135</f>
        <v>Ásdís Amie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</row>
    <row r="136" spans="1:77" x14ac:dyDescent="0.3">
      <c r="A136" s="4">
        <f>Personnel!M136</f>
        <v>1</v>
      </c>
      <c r="B136" s="5" t="str">
        <f>Personnel!D136</f>
        <v>Personnel médical</v>
      </c>
      <c r="C136" s="5" t="str">
        <f>Personnel!B136&amp;" "&amp;Personnel!C136</f>
        <v>Rufino Jaylin</v>
      </c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</row>
    <row r="137" spans="1:77" x14ac:dyDescent="0.3">
      <c r="A137" s="4">
        <f>Personnel!M137</f>
        <v>3</v>
      </c>
      <c r="B137" s="5" t="str">
        <f>Personnel!D137</f>
        <v>Personnel médical</v>
      </c>
      <c r="C137" s="5" t="str">
        <f>Personnel!B137&amp;" "&amp;Personnel!C137</f>
        <v>Tormod Joost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</row>
    <row r="138" spans="1:77" x14ac:dyDescent="0.3">
      <c r="A138" s="4">
        <f>Personnel!M138</f>
        <v>3</v>
      </c>
      <c r="B138" s="5" t="str">
        <f>Personnel!D138</f>
        <v>Personnel médical</v>
      </c>
      <c r="C138" s="5" t="str">
        <f>Personnel!B138&amp;" "&amp;Personnel!C138</f>
        <v>Ivanna Gull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</row>
    <row r="139" spans="1:77" x14ac:dyDescent="0.3">
      <c r="A139" s="4">
        <f>Personnel!M139</f>
        <v>2</v>
      </c>
      <c r="B139" s="5" t="str">
        <f>Personnel!D139</f>
        <v>Personnel médical</v>
      </c>
      <c r="C139" s="5" t="str">
        <f>Personnel!B139&amp;" "&amp;Personnel!C139</f>
        <v>Larisa Otis</v>
      </c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</row>
    <row r="140" spans="1:77" x14ac:dyDescent="0.3">
      <c r="A140" s="4">
        <f>Personnel!M140</f>
        <v>2</v>
      </c>
      <c r="B140" s="5" t="str">
        <f>Personnel!D140</f>
        <v>Personnel de nettoyage</v>
      </c>
      <c r="C140" s="5" t="str">
        <f>Personnel!B140&amp;" "&amp;Personnel!C140</f>
        <v>Ajith Noelle</v>
      </c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</row>
    <row r="141" spans="1:77" x14ac:dyDescent="0.3">
      <c r="A141" s="4">
        <f>Personnel!M141</f>
        <v>2</v>
      </c>
      <c r="B141" s="5" t="str">
        <f>Personnel!D141</f>
        <v>Personnel de nettoyage</v>
      </c>
      <c r="C141" s="5" t="str">
        <f>Personnel!B141&amp;" "&amp;Personnel!C141</f>
        <v>Eris Serenity</v>
      </c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</row>
    <row r="142" spans="1:77" x14ac:dyDescent="0.3">
      <c r="A142" s="4">
        <f>Personnel!M142</f>
        <v>1</v>
      </c>
      <c r="B142" s="5" t="str">
        <f>Personnel!D142</f>
        <v>Personnel de nettoyage</v>
      </c>
      <c r="C142" s="5" t="str">
        <f>Personnel!B142&amp;" "&amp;Personnel!C142</f>
        <v>Joona Romano</v>
      </c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</row>
    <row r="143" spans="1:77" x14ac:dyDescent="0.3">
      <c r="A143" s="4">
        <f>Personnel!M143</f>
        <v>1</v>
      </c>
      <c r="B143" s="5" t="str">
        <f>Personnel!D143</f>
        <v>Personnel de nettoyage</v>
      </c>
      <c r="C143" s="5" t="str">
        <f>Personnel!B143&amp;" "&amp;Personnel!C143</f>
        <v>Tristen Fitz</v>
      </c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</row>
    <row r="144" spans="1:77" x14ac:dyDescent="0.3">
      <c r="A144" s="4">
        <f>Personnel!M144</f>
        <v>2</v>
      </c>
      <c r="B144" s="5" t="str">
        <f>Personnel!D144</f>
        <v>Personnel de nettoyage</v>
      </c>
      <c r="C144" s="5" t="str">
        <f>Personnel!B144&amp;" "&amp;Personnel!C144</f>
        <v>Shakuntala Trahaearn</v>
      </c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</row>
    <row r="145" spans="1:77" x14ac:dyDescent="0.3">
      <c r="A145" s="4">
        <f>Personnel!M145</f>
        <v>2</v>
      </c>
      <c r="B145" s="5" t="str">
        <f>Personnel!D145</f>
        <v>Personnel de nettoyage</v>
      </c>
      <c r="C145" s="5" t="str">
        <f>Personnel!B145&amp;" "&amp;Personnel!C145</f>
        <v>Mat Vulcan</v>
      </c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</row>
    <row r="146" spans="1:77" x14ac:dyDescent="0.3">
      <c r="A146" s="4">
        <f>Personnel!M146</f>
        <v>3</v>
      </c>
      <c r="B146" s="5" t="str">
        <f>Personnel!D146</f>
        <v>Personnel de nettoyage</v>
      </c>
      <c r="C146" s="5" t="str">
        <f>Personnel!B146&amp;" "&amp;Personnel!C146</f>
        <v>Peyton Fortunato</v>
      </c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</row>
    <row r="147" spans="1:77" x14ac:dyDescent="0.3">
      <c r="A147" s="4">
        <f>Personnel!M147</f>
        <v>2</v>
      </c>
      <c r="B147" s="5" t="str">
        <f>Personnel!D147</f>
        <v>Personnel de nettoyage</v>
      </c>
      <c r="C147" s="5" t="str">
        <f>Personnel!B147&amp;" "&amp;Personnel!C147</f>
        <v>Yale Nanook</v>
      </c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</row>
    <row r="148" spans="1:77" x14ac:dyDescent="0.3">
      <c r="A148" s="4">
        <f>Personnel!M148</f>
        <v>3</v>
      </c>
      <c r="B148" s="5" t="str">
        <f>Personnel!D148</f>
        <v>Personnel de nettoyage</v>
      </c>
      <c r="C148" s="5" t="str">
        <f>Personnel!B148&amp;" "&amp;Personnel!C148</f>
        <v>Shiloh Avis</v>
      </c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</row>
    <row r="149" spans="1:77" x14ac:dyDescent="0.3">
      <c r="A149" s="4">
        <f>Personnel!M149</f>
        <v>1</v>
      </c>
      <c r="B149" s="5" t="str">
        <f>Personnel!D149</f>
        <v>Personnel de nettoyage</v>
      </c>
      <c r="C149" s="5" t="str">
        <f>Personnel!B149&amp;" "&amp;Personnel!C149</f>
        <v>Hákan Deepak</v>
      </c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</row>
    <row r="150" spans="1:77" x14ac:dyDescent="0.3">
      <c r="A150" s="4">
        <f>Personnel!M150</f>
        <v>2</v>
      </c>
      <c r="B150" s="5" t="str">
        <f>Personnel!D150</f>
        <v>Personnel de nettoyage</v>
      </c>
      <c r="C150" s="5" t="str">
        <f>Personnel!B150&amp;" "&amp;Personnel!C150</f>
        <v>Elain Kamryn</v>
      </c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</row>
    <row r="151" spans="1:77" x14ac:dyDescent="0.3">
      <c r="A151" s="4">
        <f>Personnel!M151</f>
        <v>2</v>
      </c>
      <c r="B151" s="5" t="str">
        <f>Personnel!D151</f>
        <v>Personnel de nettoyage</v>
      </c>
      <c r="C151" s="5" t="str">
        <f>Personnel!B151&amp;" "&amp;Personnel!C151</f>
        <v>Ekaterina Nadir</v>
      </c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</row>
    <row r="152" spans="1:77" x14ac:dyDescent="0.3">
      <c r="A152" s="4">
        <f>Personnel!M152</f>
        <v>3</v>
      </c>
      <c r="B152" s="5" t="str">
        <f>Personnel!D152</f>
        <v>Personnel de nettoyage</v>
      </c>
      <c r="C152" s="5" t="str">
        <f>Personnel!B152&amp;" "&amp;Personnel!C152</f>
        <v>Erica Patricia</v>
      </c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</row>
    <row r="153" spans="1:77" x14ac:dyDescent="0.3">
      <c r="A153" s="4">
        <f>Personnel!M153</f>
        <v>3</v>
      </c>
      <c r="B153" s="5" t="str">
        <f>Personnel!D153</f>
        <v>Personnel de nettoyage</v>
      </c>
      <c r="C153" s="5" t="str">
        <f>Personnel!B153&amp;" "&amp;Personnel!C153</f>
        <v>Laxmi Alix</v>
      </c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</row>
    <row r="154" spans="1:77" x14ac:dyDescent="0.3">
      <c r="A154" s="4">
        <f>Personnel!M154</f>
        <v>1</v>
      </c>
      <c r="B154" s="5" t="str">
        <f>Personnel!D154</f>
        <v>Personnel de nettoyage</v>
      </c>
      <c r="C154" s="5" t="str">
        <f>Personnel!B154&amp;" "&amp;Personnel!C154</f>
        <v>Berthold Örjan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</row>
    <row r="155" spans="1:77" x14ac:dyDescent="0.3">
      <c r="A155" s="4">
        <f>Personnel!M155</f>
        <v>2</v>
      </c>
      <c r="B155" s="5" t="str">
        <f>Personnel!D155</f>
        <v>Personnel de nettoyage</v>
      </c>
      <c r="C155" s="5" t="str">
        <f>Personnel!B155&amp;" "&amp;Personnel!C155</f>
        <v>Léopold Metin</v>
      </c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</row>
    <row r="156" spans="1:77" x14ac:dyDescent="0.3">
      <c r="A156" s="4">
        <f>Personnel!M156</f>
        <v>3</v>
      </c>
      <c r="B156" s="5" t="str">
        <f>Personnel!D156</f>
        <v>Personnel de nettoyage</v>
      </c>
      <c r="C156" s="5" t="str">
        <f>Personnel!B156&amp;" "&amp;Personnel!C156</f>
        <v>Mars Firmin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</row>
    <row r="157" spans="1:77" x14ac:dyDescent="0.3">
      <c r="A157" s="4">
        <f>Personnel!M157</f>
        <v>3</v>
      </c>
      <c r="B157" s="5" t="str">
        <f>Personnel!D157</f>
        <v>Personnel de nettoyage</v>
      </c>
      <c r="C157" s="5" t="str">
        <f>Personnel!B157&amp;" "&amp;Personnel!C157</f>
        <v>Álvaro Tzofiya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</row>
    <row r="158" spans="1:77" x14ac:dyDescent="0.3">
      <c r="A158" s="4">
        <f>Personnel!M158</f>
        <v>1</v>
      </c>
      <c r="B158" s="5" t="str">
        <f>Personnel!D158</f>
        <v>Personnel de nettoyage</v>
      </c>
      <c r="C158" s="5" t="str">
        <f>Personnel!B158&amp;" "&amp;Personnel!C158</f>
        <v>Antero Myriam</v>
      </c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</row>
    <row r="159" spans="1:77" x14ac:dyDescent="0.3">
      <c r="A159" s="4">
        <f>Personnel!M159</f>
        <v>1</v>
      </c>
      <c r="B159" s="5" t="str">
        <f>Personnel!D159</f>
        <v>Personnel de nettoyage</v>
      </c>
      <c r="C159" s="5" t="str">
        <f>Personnel!B159&amp;" "&amp;Personnel!C159</f>
        <v>Annikki Kiera</v>
      </c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</row>
    <row r="160" spans="1:77" x14ac:dyDescent="0.3">
      <c r="A160" s="4">
        <f>Personnel!M160</f>
        <v>2</v>
      </c>
      <c r="B160" s="5" t="str">
        <f>Personnel!D160</f>
        <v>Personnel de nettoyage</v>
      </c>
      <c r="C160" s="5" t="str">
        <f>Personnel!B160&amp;" "&amp;Personnel!C160</f>
        <v>Sophronius Anahita</v>
      </c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</row>
    <row r="161" spans="1:77" x14ac:dyDescent="0.3">
      <c r="A161" s="4">
        <f>Personnel!M161</f>
        <v>1</v>
      </c>
      <c r="B161" s="5" t="str">
        <f>Personnel!D161</f>
        <v>Personnel de nettoyage</v>
      </c>
      <c r="C161" s="5" t="str">
        <f>Personnel!B161&amp;" "&amp;Personnel!C161</f>
        <v>Süleyman Marwa</v>
      </c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</row>
    <row r="162" spans="1:77" x14ac:dyDescent="0.3">
      <c r="A162" s="4">
        <f>Personnel!M162</f>
        <v>2</v>
      </c>
      <c r="B162" s="5" t="str">
        <f>Personnel!D162</f>
        <v>Personnel de nettoyage</v>
      </c>
      <c r="C162" s="5" t="str">
        <f>Personnel!B162&amp;" "&amp;Personnel!C162</f>
        <v>Debbi Paise</v>
      </c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</row>
    <row r="163" spans="1:77" x14ac:dyDescent="0.3">
      <c r="A163" s="4">
        <f>Personnel!M163</f>
        <v>2</v>
      </c>
      <c r="B163" s="5" t="str">
        <f>Personnel!D163</f>
        <v>Personnel de nettoyage</v>
      </c>
      <c r="C163" s="5" t="str">
        <f>Personnel!B163&amp;" "&amp;Personnel!C163</f>
        <v>Kazuko Nereida</v>
      </c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</row>
    <row r="164" spans="1:77" x14ac:dyDescent="0.3">
      <c r="A164" s="4">
        <f>Personnel!M164</f>
        <v>3</v>
      </c>
      <c r="B164" s="5" t="str">
        <f>Personnel!D164</f>
        <v>Personnel de nettoyage</v>
      </c>
      <c r="C164" s="5" t="str">
        <f>Personnel!B164&amp;" "&amp;Personnel!C164</f>
        <v>Emiliana Mikhail</v>
      </c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</row>
    <row r="165" spans="1:77" x14ac:dyDescent="0.3">
      <c r="A165" s="4">
        <f>Personnel!M165</f>
        <v>2</v>
      </c>
      <c r="B165" s="5" t="str">
        <f>Personnel!D165</f>
        <v>Personnel de nettoyage</v>
      </c>
      <c r="C165" s="5" t="str">
        <f>Personnel!B165&amp;" "&amp;Personnel!C165</f>
        <v>Tadej Lysandra</v>
      </c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</row>
    <row r="166" spans="1:77" x14ac:dyDescent="0.3">
      <c r="A166" s="4">
        <f>Personnel!M166</f>
        <v>3</v>
      </c>
      <c r="B166" s="5" t="str">
        <f>Personnel!D166</f>
        <v>Personnel de nettoyage</v>
      </c>
      <c r="C166" s="5" t="str">
        <f>Personnel!B166&amp;" "&amp;Personnel!C166</f>
        <v>Manuel Estachio</v>
      </c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</row>
    <row r="167" spans="1:77" x14ac:dyDescent="0.3">
      <c r="A167" s="4">
        <f>Personnel!M167</f>
        <v>3</v>
      </c>
      <c r="B167" s="5" t="str">
        <f>Personnel!D167</f>
        <v>Personnel de nettoyage</v>
      </c>
      <c r="C167" s="5" t="str">
        <f>Personnel!B167&amp;" "&amp;Personnel!C167</f>
        <v>Ciril Purdie</v>
      </c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</row>
    <row r="168" spans="1:77" x14ac:dyDescent="0.3">
      <c r="A168" s="4">
        <f>Personnel!M168</f>
        <v>3</v>
      </c>
      <c r="B168" s="5" t="str">
        <f>Personnel!D168</f>
        <v>Personnel de nettoyage</v>
      </c>
      <c r="C168" s="5" t="str">
        <f>Personnel!B168&amp;" "&amp;Personnel!C168</f>
        <v>Fernand Bryanna</v>
      </c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</row>
    <row r="169" spans="1:77" x14ac:dyDescent="0.3">
      <c r="A169" s="4">
        <f>Personnel!M169</f>
        <v>1</v>
      </c>
      <c r="B169" s="5" t="str">
        <f>Personnel!D169</f>
        <v>Personnel de nettoyage</v>
      </c>
      <c r="C169" s="5" t="str">
        <f>Personnel!B169&amp;" "&amp;Personnel!C169</f>
        <v>Mahmood Atarah</v>
      </c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</row>
    <row r="170" spans="1:77" x14ac:dyDescent="0.3">
      <c r="A170" s="4">
        <f>Personnel!M170</f>
        <v>2</v>
      </c>
      <c r="B170" s="5" t="str">
        <f>Personnel!D170</f>
        <v>Personnel de nettoyage</v>
      </c>
      <c r="C170" s="5" t="str">
        <f>Personnel!B170&amp;" "&amp;Personnel!C170</f>
        <v>Hortensia Artturi</v>
      </c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</row>
    <row r="171" spans="1:77" x14ac:dyDescent="0.3">
      <c r="A171" s="4">
        <f>Personnel!M171</f>
        <v>2</v>
      </c>
      <c r="B171" s="5" t="str">
        <f>Personnel!D171</f>
        <v>Personnel de nettoyage</v>
      </c>
      <c r="C171" s="5" t="str">
        <f>Personnel!B171&amp;" "&amp;Personnel!C171</f>
        <v>Ern Lommán</v>
      </c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</row>
    <row r="172" spans="1:77" x14ac:dyDescent="0.3">
      <c r="A172" s="4">
        <f>Personnel!M172</f>
        <v>3</v>
      </c>
      <c r="B172" s="5" t="str">
        <f>Personnel!D172</f>
        <v>Personnel de nettoyage</v>
      </c>
      <c r="C172" s="5" t="str">
        <f>Personnel!B172&amp;" "&amp;Personnel!C172</f>
        <v>Luitgard Alphonzo</v>
      </c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</row>
    <row r="173" spans="1:77" x14ac:dyDescent="0.3">
      <c r="A173" s="4">
        <f>Personnel!M173</f>
        <v>2</v>
      </c>
      <c r="B173" s="5" t="str">
        <f>Personnel!D173</f>
        <v>Personnel de nettoyage</v>
      </c>
      <c r="C173" s="5" t="str">
        <f>Personnel!B173&amp;" "&amp;Personnel!C173</f>
        <v>Matrona Pat</v>
      </c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</row>
    <row r="174" spans="1:77" x14ac:dyDescent="0.3">
      <c r="A174" s="4">
        <f>Personnel!M174</f>
        <v>1</v>
      </c>
      <c r="B174" s="5" t="str">
        <f>Personnel!D174</f>
        <v>Personnel de nettoyage</v>
      </c>
      <c r="C174" s="5" t="str">
        <f>Personnel!B174&amp;" "&amp;Personnel!C174</f>
        <v>Kiyoko Ashleigh</v>
      </c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</row>
    <row r="175" spans="1:77" x14ac:dyDescent="0.3">
      <c r="A175" s="4">
        <f>Personnel!M175</f>
        <v>2</v>
      </c>
      <c r="B175" s="5" t="str">
        <f>Personnel!D175</f>
        <v>Personnel de nettoyage</v>
      </c>
      <c r="C175" s="5" t="str">
        <f>Personnel!B175&amp;" "&amp;Personnel!C175</f>
        <v>Ríghnach Gershon</v>
      </c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</row>
    <row r="176" spans="1:77" x14ac:dyDescent="0.3">
      <c r="A176" s="4">
        <f>Personnel!M176</f>
        <v>2</v>
      </c>
      <c r="B176" s="5" t="str">
        <f>Personnel!D176</f>
        <v>Personnel de nettoyage</v>
      </c>
      <c r="C176" s="5" t="str">
        <f>Personnel!B176&amp;" "&amp;Personnel!C176</f>
        <v>Zdenek Shayla</v>
      </c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</row>
    <row r="177" spans="1:77" x14ac:dyDescent="0.3">
      <c r="A177" s="4">
        <f>Personnel!M177</f>
        <v>3</v>
      </c>
      <c r="B177" s="5" t="str">
        <f>Personnel!D177</f>
        <v>Personnel de nettoyage</v>
      </c>
      <c r="C177" s="5" t="str">
        <f>Personnel!B177&amp;" "&amp;Personnel!C177</f>
        <v>Eluned Kreszentia</v>
      </c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</row>
    <row r="178" spans="1:77" x14ac:dyDescent="0.3">
      <c r="A178" s="4">
        <f>Personnel!M178</f>
        <v>1</v>
      </c>
      <c r="B178" s="5" t="str">
        <f>Personnel!D178</f>
        <v>Personnel de nettoyage</v>
      </c>
      <c r="C178" s="5" t="str">
        <f>Personnel!B178&amp;" "&amp;Personnel!C178</f>
        <v>Gwladus Heliodoro</v>
      </c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</row>
    <row r="179" spans="1:77" x14ac:dyDescent="0.3">
      <c r="A179" s="4">
        <f>Personnel!M179</f>
        <v>2</v>
      </c>
      <c r="B179" s="5" t="str">
        <f>Personnel!D179</f>
        <v>Personnel de nettoyage</v>
      </c>
      <c r="C179" s="5" t="str">
        <f>Personnel!B179&amp;" "&amp;Personnel!C179</f>
        <v>Firenze Rowan</v>
      </c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</row>
    <row r="180" spans="1:77" x14ac:dyDescent="0.3">
      <c r="A180" s="4">
        <f>Personnel!M180</f>
        <v>1</v>
      </c>
      <c r="B180" s="5" t="str">
        <f>Personnel!D180</f>
        <v>Personnel de nettoyage</v>
      </c>
      <c r="C180" s="5" t="str">
        <f>Personnel!B180&amp;" "&amp;Personnel!C180</f>
        <v>Frederico Den</v>
      </c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</row>
    <row r="181" spans="1:77" x14ac:dyDescent="0.3">
      <c r="A181" s="4">
        <f>Personnel!M181</f>
        <v>1</v>
      </c>
      <c r="B181" s="5" t="str">
        <f>Personnel!D181</f>
        <v>Personnel de nettoyage</v>
      </c>
      <c r="C181" s="5" t="str">
        <f>Personnel!B181&amp;" "&amp;Personnel!C181</f>
        <v>Jovita Euthalia</v>
      </c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</row>
    <row r="182" spans="1:77" x14ac:dyDescent="0.3">
      <c r="A182" s="4">
        <f>Personnel!M182</f>
        <v>3</v>
      </c>
      <c r="B182" s="5" t="str">
        <f>Personnel!D182</f>
        <v>Personnel de nettoyage</v>
      </c>
      <c r="C182" s="5" t="str">
        <f>Personnel!B182&amp;" "&amp;Personnel!C182</f>
        <v>Luther Zella</v>
      </c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</row>
    <row r="183" spans="1:77" x14ac:dyDescent="0.3">
      <c r="A183" s="4">
        <f>Personnel!M183</f>
        <v>3</v>
      </c>
      <c r="B183" s="5" t="str">
        <f>Personnel!D183</f>
        <v>Personnel de nettoyage</v>
      </c>
      <c r="C183" s="5" t="str">
        <f>Personnel!B183&amp;" "&amp;Personnel!C183</f>
        <v>Cybele Eirlys</v>
      </c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</row>
    <row r="184" spans="1:77" x14ac:dyDescent="0.3">
      <c r="A184" s="4">
        <f>Personnel!M184</f>
        <v>2</v>
      </c>
      <c r="B184" s="5" t="str">
        <f>Personnel!D184</f>
        <v>Personnel de nettoyage</v>
      </c>
      <c r="C184" s="5" t="str">
        <f>Personnel!B184&amp;" "&amp;Personnel!C184</f>
        <v>Madison Evdokiya</v>
      </c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</row>
    <row r="185" spans="1:77" x14ac:dyDescent="0.3">
      <c r="A185" s="4">
        <f>Personnel!M185</f>
        <v>2</v>
      </c>
      <c r="B185" s="5" t="str">
        <f>Personnel!D185</f>
        <v>Personnel de nettoyage</v>
      </c>
      <c r="C185" s="5" t="str">
        <f>Personnel!B185&amp;" "&amp;Personnel!C185</f>
        <v>Rémi Grenville</v>
      </c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</row>
    <row r="186" spans="1:77" x14ac:dyDescent="0.3">
      <c r="A186" s="4">
        <f>Personnel!M186</f>
        <v>1</v>
      </c>
      <c r="B186" s="5" t="str">
        <f>Personnel!D186</f>
        <v>Personnel de nettoyage</v>
      </c>
      <c r="C186" s="5" t="str">
        <f>Personnel!B186&amp;" "&amp;Personnel!C186</f>
        <v>Xiomara Hamish</v>
      </c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</row>
    <row r="187" spans="1:77" x14ac:dyDescent="0.3">
      <c r="A187" s="4">
        <f>Personnel!M187</f>
        <v>3</v>
      </c>
      <c r="B187" s="5" t="str">
        <f>Personnel!D187</f>
        <v>Personnel de nettoyage</v>
      </c>
      <c r="C187" s="5" t="str">
        <f>Personnel!B187&amp;" "&amp;Personnel!C187</f>
        <v>Gladwyn Sam</v>
      </c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</row>
    <row r="188" spans="1:77" x14ac:dyDescent="0.3">
      <c r="A188" s="4">
        <f>Personnel!M188</f>
        <v>2</v>
      </c>
      <c r="B188" s="5" t="str">
        <f>Personnel!D188</f>
        <v>Personnel de nettoyage</v>
      </c>
      <c r="C188" s="5" t="str">
        <f>Personnel!B188&amp;" "&amp;Personnel!C188</f>
        <v>Antony Enok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</row>
    <row r="189" spans="1:77" x14ac:dyDescent="0.3">
      <c r="A189" s="4">
        <f>Personnel!M189</f>
        <v>1</v>
      </c>
      <c r="B189" s="5" t="str">
        <f>Personnel!D189</f>
        <v>Personnel de nettoyage</v>
      </c>
      <c r="C189" s="5" t="str">
        <f>Personnel!B189&amp;" "&amp;Personnel!C189</f>
        <v>Feardorcha Ena</v>
      </c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</row>
    <row r="190" spans="1:77" x14ac:dyDescent="0.3">
      <c r="A190" s="4">
        <f>Personnel!M190</f>
        <v>1</v>
      </c>
      <c r="B190" s="5" t="str">
        <f>Personnel!D190</f>
        <v>Personnel de nettoyage</v>
      </c>
      <c r="C190" s="5" t="str">
        <f>Personnel!B190&amp;" "&amp;Personnel!C190</f>
        <v>Fawn Samuele</v>
      </c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</row>
    <row r="191" spans="1:77" x14ac:dyDescent="0.3">
      <c r="A191" s="4">
        <f>Personnel!M191</f>
        <v>1</v>
      </c>
      <c r="B191" s="5" t="str">
        <f>Personnel!D191</f>
        <v>Personnel de nettoyage</v>
      </c>
      <c r="C191" s="5" t="str">
        <f>Personnel!B191&amp;" "&amp;Personnel!C191</f>
        <v>Gafar Justyna</v>
      </c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</row>
    <row r="192" spans="1:77" x14ac:dyDescent="0.3">
      <c r="A192" s="4">
        <f>Personnel!M192</f>
        <v>1</v>
      </c>
      <c r="B192" s="5" t="str">
        <f>Personnel!D192</f>
        <v>Personnel de nettoyage</v>
      </c>
      <c r="C192" s="5" t="str">
        <f>Personnel!B192&amp;" "&amp;Personnel!C192</f>
        <v>Donovan Lior</v>
      </c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</row>
    <row r="193" spans="1:77" x14ac:dyDescent="0.3">
      <c r="A193" s="4">
        <f>Personnel!M193</f>
        <v>3</v>
      </c>
      <c r="B193" s="5" t="str">
        <f>Personnel!D193</f>
        <v>Personnel de nettoyage</v>
      </c>
      <c r="C193" s="5" t="str">
        <f>Personnel!B193&amp;" "&amp;Personnel!C193</f>
        <v>Estrella Photine</v>
      </c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</row>
    <row r="194" spans="1:77" x14ac:dyDescent="0.3">
      <c r="A194" s="4">
        <f>Personnel!M194</f>
        <v>2</v>
      </c>
      <c r="B194" s="5" t="str">
        <f>Personnel!D194</f>
        <v>Personnel de nettoyage</v>
      </c>
      <c r="C194" s="5" t="str">
        <f>Personnel!B194&amp;" "&amp;Personnel!C194</f>
        <v>Farrah Hamlet</v>
      </c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</row>
    <row r="195" spans="1:77" x14ac:dyDescent="0.3">
      <c r="A195" s="4">
        <f>Personnel!M195</f>
        <v>2</v>
      </c>
      <c r="B195" s="5" t="str">
        <f>Personnel!D195</f>
        <v>Personnel de nettoyage</v>
      </c>
      <c r="C195" s="5" t="str">
        <f>Personnel!B195&amp;" "&amp;Personnel!C195</f>
        <v>Alannis Peder</v>
      </c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</row>
    <row r="196" spans="1:77" x14ac:dyDescent="0.3">
      <c r="A196" s="4">
        <f>Personnel!M196</f>
        <v>2</v>
      </c>
      <c r="B196" s="5" t="str">
        <f>Personnel!D196</f>
        <v>Personnel de nettoyage</v>
      </c>
      <c r="C196" s="5" t="str">
        <f>Personnel!B196&amp;" "&amp;Personnel!C196</f>
        <v>Ráichéal Natasha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</row>
    <row r="197" spans="1:77" x14ac:dyDescent="0.3">
      <c r="A197" s="4">
        <f>Personnel!M197</f>
        <v>3</v>
      </c>
      <c r="B197" s="5" t="str">
        <f>Personnel!D197</f>
        <v>Personnel de nettoyage</v>
      </c>
      <c r="C197" s="5" t="str">
        <f>Personnel!B197&amp;" "&amp;Personnel!C197</f>
        <v>Elpis Ignatius</v>
      </c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</row>
    <row r="198" spans="1:77" x14ac:dyDescent="0.3">
      <c r="A198" s="4">
        <f>Personnel!M198</f>
        <v>3</v>
      </c>
      <c r="B198" s="5" t="str">
        <f>Personnel!D198</f>
        <v>Personnel de nettoyage</v>
      </c>
      <c r="C198" s="5" t="str">
        <f>Personnel!B198&amp;" "&amp;Personnel!C198</f>
        <v>Filippo Oliver</v>
      </c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</row>
    <row r="199" spans="1:77" x14ac:dyDescent="0.3">
      <c r="A199" s="4">
        <f>Personnel!M199</f>
        <v>2</v>
      </c>
      <c r="B199" s="5" t="str">
        <f>Personnel!D199</f>
        <v>Personnel de nettoyage</v>
      </c>
      <c r="C199" s="5" t="str">
        <f>Personnel!B199&amp;" "&amp;Personnel!C199</f>
        <v>Eliphelet Petr</v>
      </c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</row>
    <row r="200" spans="1:77" x14ac:dyDescent="0.3">
      <c r="A200" s="4">
        <f>Personnel!M200</f>
        <v>2</v>
      </c>
      <c r="B200" s="5" t="str">
        <f>Personnel!D200</f>
        <v>Personnel de nettoyage</v>
      </c>
      <c r="C200" s="5" t="str">
        <f>Personnel!B200&amp;" "&amp;Personnel!C200</f>
        <v>Estella Harry</v>
      </c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</row>
    <row r="201" spans="1:77" x14ac:dyDescent="0.3">
      <c r="A201" s="4">
        <f>Personnel!M201</f>
        <v>1</v>
      </c>
      <c r="B201" s="5" t="str">
        <f>Personnel!D201</f>
        <v>Personnel de nettoyage</v>
      </c>
      <c r="C201" s="5" t="str">
        <f>Personnel!B201&amp;" "&amp;Personnel!C201</f>
        <v>Kolman Iqbal</v>
      </c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</row>
    <row r="202" spans="1:77" x14ac:dyDescent="0.3">
      <c r="A202" s="4">
        <f>Personnel!M202</f>
        <v>3</v>
      </c>
      <c r="B202" s="5" t="str">
        <f>Personnel!D202</f>
        <v>Personnel de nettoyage</v>
      </c>
      <c r="C202" s="5" t="str">
        <f>Personnel!B202&amp;" "&amp;Personnel!C202</f>
        <v>Iolo Hale</v>
      </c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</row>
    <row r="203" spans="1:77" x14ac:dyDescent="0.3">
      <c r="A203" s="4">
        <f>Personnel!M203</f>
        <v>1</v>
      </c>
      <c r="B203" s="5" t="str">
        <f>Personnel!D203</f>
        <v>Personnel administratif</v>
      </c>
      <c r="C203" s="5" t="str">
        <f>Personnel!B203&amp;" "&amp;Personnel!C203</f>
        <v>Guilherme Conchobhar</v>
      </c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</row>
    <row r="204" spans="1:77" x14ac:dyDescent="0.3">
      <c r="A204" s="4">
        <f>Personnel!M204</f>
        <v>3</v>
      </c>
      <c r="B204" s="5" t="str">
        <f>Personnel!D204</f>
        <v>Personnel administratif</v>
      </c>
      <c r="C204" s="5" t="str">
        <f>Personnel!B204&amp;" "&amp;Personnel!C204</f>
        <v>Euthymius Sapphira</v>
      </c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</row>
    <row r="205" spans="1:77" x14ac:dyDescent="0.3">
      <c r="A205" s="4">
        <f>Personnel!M205</f>
        <v>2</v>
      </c>
      <c r="B205" s="5" t="str">
        <f>Personnel!D205</f>
        <v>Personnel administratif</v>
      </c>
      <c r="C205" s="5" t="str">
        <f>Personnel!B205&amp;" "&amp;Personnel!C205</f>
        <v>Coralie Sunitha</v>
      </c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</row>
    <row r="206" spans="1:77" x14ac:dyDescent="0.3">
      <c r="A206" s="4">
        <f>Personnel!M206</f>
        <v>2</v>
      </c>
      <c r="B206" s="5" t="str">
        <f>Personnel!D206</f>
        <v>Personnel administratif</v>
      </c>
      <c r="C206" s="5" t="str">
        <f>Personnel!B206&amp;" "&amp;Personnel!C206</f>
        <v>Eniola Plamen</v>
      </c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</row>
    <row r="207" spans="1:77" x14ac:dyDescent="0.3">
      <c r="A207" s="4">
        <f>Personnel!M207</f>
        <v>2</v>
      </c>
      <c r="B207" s="5" t="str">
        <f>Personnel!D207</f>
        <v>Personnel administratif</v>
      </c>
      <c r="C207" s="5" t="str">
        <f>Personnel!B207&amp;" "&amp;Personnel!C207</f>
        <v>Honey Claus</v>
      </c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</row>
    <row r="208" spans="1:77" x14ac:dyDescent="0.3">
      <c r="A208" s="4">
        <f>Personnel!M208</f>
        <v>3</v>
      </c>
      <c r="B208" s="5" t="str">
        <f>Personnel!D208</f>
        <v>Personnel administratif</v>
      </c>
      <c r="C208" s="5" t="str">
        <f>Personnel!B208&amp;" "&amp;Personnel!C208</f>
        <v>Alcyone Gwyneth</v>
      </c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</row>
    <row r="209" spans="1:77" x14ac:dyDescent="0.3">
      <c r="A209" s="4">
        <f>Personnel!M209</f>
        <v>1</v>
      </c>
      <c r="B209" s="5" t="str">
        <f>Personnel!D209</f>
        <v>Personnel administratif</v>
      </c>
      <c r="C209" s="5" t="str">
        <f>Personnel!B209&amp;" "&amp;Personnel!C209</f>
        <v>Anne Yusra</v>
      </c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</row>
    <row r="210" spans="1:77" x14ac:dyDescent="0.3">
      <c r="A210" s="4">
        <f>Personnel!M210</f>
        <v>1</v>
      </c>
      <c r="B210" s="5" t="str">
        <f>Personnel!D210</f>
        <v>Personnel administratif</v>
      </c>
      <c r="C210" s="5" t="str">
        <f>Personnel!B210&amp;" "&amp;Personnel!C210</f>
        <v>Aaren Aatami</v>
      </c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</row>
    <row r="211" spans="1:77" x14ac:dyDescent="0.3">
      <c r="A211" s="4">
        <f>Personnel!M211</f>
        <v>1</v>
      </c>
      <c r="B211" s="5" t="str">
        <f>Personnel!D211</f>
        <v>Personnel administratif</v>
      </c>
      <c r="C211" s="5" t="str">
        <f>Personnel!B211&amp;" "&amp;Personnel!C211</f>
        <v>Gormlaith Erykah</v>
      </c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</row>
    <row r="212" spans="1:77" x14ac:dyDescent="0.3">
      <c r="A212" s="4">
        <f>Personnel!M212</f>
        <v>3</v>
      </c>
      <c r="B212" s="5" t="str">
        <f>Personnel!D212</f>
        <v>Personnel administratif</v>
      </c>
      <c r="C212" s="5" t="str">
        <f>Personnel!B212&amp;" "&amp;Personnel!C212</f>
        <v>Nolene Naomhán</v>
      </c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</row>
    <row r="213" spans="1:77" x14ac:dyDescent="0.3">
      <c r="A213" s="4">
        <f>Personnel!M213</f>
        <v>3</v>
      </c>
      <c r="B213" s="5" t="str">
        <f>Personnel!D213</f>
        <v>Personnel administratif</v>
      </c>
      <c r="C213" s="5" t="str">
        <f>Personnel!B213&amp;" "&amp;Personnel!C213</f>
        <v>Bedros Seòsaidh</v>
      </c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</row>
    <row r="214" spans="1:77" x14ac:dyDescent="0.3">
      <c r="A214" s="4">
        <f>Personnel!M214</f>
        <v>1</v>
      </c>
      <c r="B214" s="5" t="str">
        <f>Personnel!D214</f>
        <v>Personnel administratif</v>
      </c>
      <c r="C214" s="5" t="str">
        <f>Personnel!B214&amp;" "&amp;Personnel!C214</f>
        <v>Vishnu Mu</v>
      </c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</row>
    <row r="215" spans="1:77" x14ac:dyDescent="0.3">
      <c r="A215" s="4">
        <f>Personnel!M215</f>
        <v>1</v>
      </c>
      <c r="B215" s="5" t="str">
        <f>Personnel!D215</f>
        <v>Personnel administratif</v>
      </c>
      <c r="C215" s="5" t="str">
        <f>Personnel!B215&amp;" "&amp;Personnel!C215</f>
        <v>Leia Ili</v>
      </c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</row>
    <row r="216" spans="1:77" x14ac:dyDescent="0.3">
      <c r="A216" s="4">
        <f>Personnel!M216</f>
        <v>3</v>
      </c>
      <c r="B216" s="5" t="str">
        <f>Personnel!D216</f>
        <v>Personnel administratif</v>
      </c>
      <c r="C216" s="5" t="str">
        <f>Personnel!B216&amp;" "&amp;Personnel!C216</f>
        <v>Mansoor Diamond</v>
      </c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</row>
    <row r="217" spans="1:77" x14ac:dyDescent="0.3">
      <c r="A217" s="4">
        <f>Personnel!M217</f>
        <v>2</v>
      </c>
      <c r="B217" s="5" t="str">
        <f>Personnel!D217</f>
        <v>Personnel administratif</v>
      </c>
      <c r="C217" s="5" t="str">
        <f>Personnel!B217&amp;" "&amp;Personnel!C217</f>
        <v>Dumitru Ragnhildur</v>
      </c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</row>
    <row r="218" spans="1:77" x14ac:dyDescent="0.3">
      <c r="A218" s="4">
        <f>Personnel!M218</f>
        <v>1</v>
      </c>
      <c r="B218" s="5" t="str">
        <f>Personnel!D218</f>
        <v>Personnel administratif</v>
      </c>
      <c r="C218" s="5" t="str">
        <f>Personnel!B218&amp;" "&amp;Personnel!C218</f>
        <v>Petrina Wallis</v>
      </c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</row>
    <row r="219" spans="1:77" x14ac:dyDescent="0.3">
      <c r="A219" s="4">
        <f>Personnel!M219</f>
        <v>3</v>
      </c>
      <c r="B219" s="5" t="str">
        <f>Personnel!D219</f>
        <v>Personnel administratif</v>
      </c>
      <c r="C219" s="5" t="str">
        <f>Personnel!B219&amp;" "&amp;Personnel!C219</f>
        <v>Hamza Yahveh</v>
      </c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</row>
    <row r="220" spans="1:77" x14ac:dyDescent="0.3">
      <c r="A220" s="4">
        <f>Personnel!M220</f>
        <v>3</v>
      </c>
      <c r="B220" s="5" t="str">
        <f>Personnel!D220</f>
        <v>Personnel administratif</v>
      </c>
      <c r="C220" s="5" t="str">
        <f>Personnel!B220&amp;" "&amp;Personnel!C220</f>
        <v>Meaveen Rune</v>
      </c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</row>
    <row r="221" spans="1:77" x14ac:dyDescent="0.3">
      <c r="A221" s="4">
        <f>Personnel!M221</f>
        <v>2</v>
      </c>
      <c r="B221" s="5" t="str">
        <f>Personnel!D221</f>
        <v>Personnel administratif</v>
      </c>
      <c r="C221" s="5" t="str">
        <f>Personnel!B221&amp;" "&amp;Personnel!C221</f>
        <v>Mokosh Encarnacion</v>
      </c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</row>
    <row r="222" spans="1:77" x14ac:dyDescent="0.3">
      <c r="A222" s="4">
        <f>Personnel!M222</f>
        <v>2</v>
      </c>
      <c r="B222" s="5" t="str">
        <f>Personnel!D222</f>
        <v>Personnel administratif</v>
      </c>
      <c r="C222" s="5" t="str">
        <f>Personnel!B222&amp;" "&amp;Personnel!C222</f>
        <v>Þórr Agrona</v>
      </c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</row>
    <row r="223" spans="1:77" x14ac:dyDescent="0.3">
      <c r="A223" s="4">
        <f>Personnel!M223</f>
        <v>2</v>
      </c>
      <c r="B223" s="5" t="str">
        <f>Personnel!D223</f>
        <v>Personnel administratif</v>
      </c>
      <c r="C223" s="5" t="str">
        <f>Personnel!B223&amp;" "&amp;Personnel!C223</f>
        <v>Lucia Thalia</v>
      </c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</row>
    <row r="224" spans="1:77" x14ac:dyDescent="0.3">
      <c r="A224" s="4">
        <f>Personnel!M224</f>
        <v>2</v>
      </c>
      <c r="B224" s="5" t="str">
        <f>Personnel!D224</f>
        <v>Personnel administratif</v>
      </c>
      <c r="C224" s="5" t="str">
        <f>Personnel!B224&amp;" "&amp;Personnel!C224</f>
        <v>Star Treasa</v>
      </c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</row>
    <row r="225" spans="1:77" x14ac:dyDescent="0.3">
      <c r="A225" s="4">
        <f>Personnel!M225</f>
        <v>1</v>
      </c>
      <c r="B225" s="5" t="str">
        <f>Personnel!D225</f>
        <v>Personnel administratif</v>
      </c>
      <c r="C225" s="5" t="str">
        <f>Personnel!B225&amp;" "&amp;Personnel!C225</f>
        <v>Eallair Tye</v>
      </c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</row>
    <row r="226" spans="1:77" x14ac:dyDescent="0.3">
      <c r="A226" s="4">
        <f>Personnel!M226</f>
        <v>2</v>
      </c>
      <c r="B226" s="5" t="str">
        <f>Personnel!D226</f>
        <v>Personnel administratif</v>
      </c>
      <c r="C226" s="5" t="str">
        <f>Personnel!B226&amp;" "&amp;Personnel!C226</f>
        <v>Liesa Servius</v>
      </c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</row>
    <row r="227" spans="1:77" x14ac:dyDescent="0.3">
      <c r="A227" s="4">
        <f>Personnel!M227</f>
        <v>3</v>
      </c>
      <c r="B227" s="5" t="str">
        <f>Personnel!D227</f>
        <v>Personnel administratif</v>
      </c>
      <c r="C227" s="5" t="str">
        <f>Personnel!B227&amp;" "&amp;Personnel!C227</f>
        <v>Milburn Maria</v>
      </c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</row>
    <row r="228" spans="1:77" x14ac:dyDescent="0.3">
      <c r="A228" s="4">
        <f>Personnel!M228</f>
        <v>3</v>
      </c>
      <c r="B228" s="5" t="str">
        <f>Personnel!D228</f>
        <v>Personnel administratif</v>
      </c>
      <c r="C228" s="5" t="str">
        <f>Personnel!B228&amp;" "&amp;Personnel!C228</f>
        <v>Friedhold Cambria</v>
      </c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</row>
    <row r="229" spans="1:77" x14ac:dyDescent="0.3">
      <c r="A229" s="4">
        <f>Personnel!M229</f>
        <v>3</v>
      </c>
      <c r="B229" s="5" t="str">
        <f>Personnel!D229</f>
        <v>Personnel administratif</v>
      </c>
      <c r="C229" s="5" t="str">
        <f>Personnel!B229&amp;" "&amp;Personnel!C229</f>
        <v>Andreja Savanna</v>
      </c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</row>
    <row r="230" spans="1:77" x14ac:dyDescent="0.3">
      <c r="A230" s="4">
        <f>Personnel!M230</f>
        <v>1</v>
      </c>
      <c r="B230" s="5" t="str">
        <f>Personnel!D230</f>
        <v>Personnel administratif</v>
      </c>
      <c r="C230" s="5" t="str">
        <f>Personnel!B230&amp;" "&amp;Personnel!C230</f>
        <v>Janan Amos</v>
      </c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</row>
    <row r="231" spans="1:77" x14ac:dyDescent="0.3">
      <c r="A231" s="4">
        <f>Personnel!M231</f>
        <v>3</v>
      </c>
      <c r="B231" s="5" t="str">
        <f>Personnel!D231</f>
        <v>Personnel administratif</v>
      </c>
      <c r="C231" s="5" t="str">
        <f>Personnel!B231&amp;" "&amp;Personnel!C231</f>
        <v>Temujin Maddalena</v>
      </c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</row>
    <row r="232" spans="1:77" x14ac:dyDescent="0.3">
      <c r="A232" s="4">
        <f>Personnel!M232</f>
        <v>3</v>
      </c>
      <c r="B232" s="5" t="str">
        <f>Personnel!D232</f>
        <v>Personnel administratif</v>
      </c>
      <c r="C232" s="5" t="str">
        <f>Personnel!B232&amp;" "&amp;Personnel!C232</f>
        <v>Lonnie Osborn</v>
      </c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</row>
    <row r="233" spans="1:77" x14ac:dyDescent="0.3">
      <c r="A233" s="4">
        <f>Personnel!M233</f>
        <v>2</v>
      </c>
      <c r="B233" s="5" t="str">
        <f>Personnel!D233</f>
        <v>Personnel administratif</v>
      </c>
      <c r="C233" s="5" t="str">
        <f>Personnel!B233&amp;" "&amp;Personnel!C233</f>
        <v>Kelia Olumide</v>
      </c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</row>
    <row r="234" spans="1:77" x14ac:dyDescent="0.3">
      <c r="A234" s="4">
        <f>Personnel!M234</f>
        <v>3</v>
      </c>
      <c r="B234" s="5" t="str">
        <f>Personnel!D234</f>
        <v>Personnel administratif</v>
      </c>
      <c r="C234" s="5" t="str">
        <f>Personnel!B234&amp;" "&amp;Personnel!C234</f>
        <v>Carl Renée</v>
      </c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</row>
    <row r="235" spans="1:77" x14ac:dyDescent="0.3">
      <c r="A235" s="4">
        <f>Personnel!M235</f>
        <v>3</v>
      </c>
      <c r="B235" s="5" t="str">
        <f>Personnel!D235</f>
        <v>Personnel administratif</v>
      </c>
      <c r="C235" s="5" t="str">
        <f>Personnel!B235&amp;" "&amp;Personnel!C235</f>
        <v>Eli Anasztázia</v>
      </c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</row>
    <row r="236" spans="1:77" x14ac:dyDescent="0.3">
      <c r="A236" s="4">
        <f>Personnel!M236</f>
        <v>3</v>
      </c>
      <c r="B236" s="5" t="str">
        <f>Personnel!D236</f>
        <v>Personnel administratif</v>
      </c>
      <c r="C236" s="5" t="str">
        <f>Personnel!B236&amp;" "&amp;Personnel!C236</f>
        <v>Daithí Sophie</v>
      </c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</row>
    <row r="237" spans="1:77" x14ac:dyDescent="0.3">
      <c r="A237" s="4">
        <f>Personnel!M237</f>
        <v>3</v>
      </c>
      <c r="B237" s="5" t="str">
        <f>Personnel!D237</f>
        <v>Personnel administratif</v>
      </c>
      <c r="C237" s="5" t="str">
        <f>Personnel!B237&amp;" "&amp;Personnel!C237</f>
        <v>Olavi Merry</v>
      </c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</row>
    <row r="238" spans="1:77" x14ac:dyDescent="0.3">
      <c r="A238" s="4">
        <f>Personnel!M238</f>
        <v>3</v>
      </c>
      <c r="B238" s="5" t="str">
        <f>Personnel!D238</f>
        <v>Personnel administratif</v>
      </c>
      <c r="C238" s="5" t="str">
        <f>Personnel!B238&amp;" "&amp;Personnel!C238</f>
        <v>Vesa Noémie</v>
      </c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</row>
    <row r="239" spans="1:77" x14ac:dyDescent="0.3">
      <c r="A239" s="4">
        <f>Personnel!M239</f>
        <v>2</v>
      </c>
      <c r="B239" s="5" t="str">
        <f>Personnel!D239</f>
        <v>Personnel administratif</v>
      </c>
      <c r="C239" s="5" t="str">
        <f>Personnel!B239&amp;" "&amp;Personnel!C239</f>
        <v>Trini Ikaika</v>
      </c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</row>
    <row r="240" spans="1:77" x14ac:dyDescent="0.3">
      <c r="A240" s="4">
        <f>Personnel!M240</f>
        <v>1</v>
      </c>
      <c r="B240" s="5" t="str">
        <f>Personnel!D240</f>
        <v>Personnel administratif</v>
      </c>
      <c r="C240" s="5" t="str">
        <f>Personnel!B240&amp;" "&amp;Personnel!C240</f>
        <v>Finn Terrell</v>
      </c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</row>
    <row r="241" spans="1:77" x14ac:dyDescent="0.3">
      <c r="A241" s="4">
        <f>Personnel!M241</f>
        <v>3</v>
      </c>
      <c r="B241" s="5" t="str">
        <f>Personnel!D241</f>
        <v>Personnel administratif</v>
      </c>
      <c r="C241" s="5" t="str">
        <f>Personnel!B241&amp;" "&amp;Personnel!C241</f>
        <v>Bhaskar Carlito</v>
      </c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</row>
    <row r="242" spans="1:77" x14ac:dyDescent="0.3">
      <c r="A242" s="4">
        <f>Personnel!M242</f>
        <v>2</v>
      </c>
      <c r="B242" s="5" t="str">
        <f>Personnel!D242</f>
        <v>Personnel administratif</v>
      </c>
      <c r="C242" s="5" t="str">
        <f>Personnel!B242&amp;" "&amp;Personnel!C242</f>
        <v>Boghos Fredrik</v>
      </c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</row>
    <row r="243" spans="1:77" x14ac:dyDescent="0.3">
      <c r="A243" s="4">
        <f>Personnel!M243</f>
        <v>2</v>
      </c>
      <c r="B243" s="5" t="str">
        <f>Personnel!D243</f>
        <v>Personnel administratif</v>
      </c>
      <c r="C243" s="5" t="str">
        <f>Personnel!B243&amp;" "&amp;Personnel!C243</f>
        <v>Ilker Frannie</v>
      </c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</row>
    <row r="244" spans="1:77" x14ac:dyDescent="0.3">
      <c r="A244" s="4">
        <f>Personnel!M244</f>
        <v>1</v>
      </c>
      <c r="B244" s="5" t="str">
        <f>Personnel!D244</f>
        <v>Personnel administratif</v>
      </c>
      <c r="C244" s="5" t="str">
        <f>Personnel!B244&amp;" "&amp;Personnel!C244</f>
        <v>Kaiser Giovanna</v>
      </c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</row>
    <row r="245" spans="1:77" x14ac:dyDescent="0.3">
      <c r="A245" s="4">
        <f>Personnel!M245</f>
        <v>3</v>
      </c>
      <c r="B245" s="5" t="str">
        <f>Personnel!D245</f>
        <v>Personnel administratif</v>
      </c>
      <c r="C245" s="5" t="str">
        <f>Personnel!B245&amp;" "&amp;Personnel!C245</f>
        <v>Boyce Cilka</v>
      </c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</row>
    <row r="246" spans="1:77" x14ac:dyDescent="0.3">
      <c r="A246" s="4">
        <f>Personnel!M246</f>
        <v>2</v>
      </c>
      <c r="B246" s="5" t="str">
        <f>Personnel!D246</f>
        <v>Personnel administratif</v>
      </c>
      <c r="C246" s="5" t="str">
        <f>Personnel!B246&amp;" "&amp;Personnel!C246</f>
        <v>Joshua Régis</v>
      </c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</row>
    <row r="247" spans="1:77" x14ac:dyDescent="0.3">
      <c r="A247" s="4">
        <f>Personnel!M247</f>
        <v>2</v>
      </c>
      <c r="B247" s="5" t="str">
        <f>Personnel!D247</f>
        <v>Personnel administratif</v>
      </c>
      <c r="C247" s="5" t="str">
        <f>Personnel!B247&amp;" "&amp;Personnel!C247</f>
        <v>Phoenix Constantia</v>
      </c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</row>
    <row r="248" spans="1:77" x14ac:dyDescent="0.3">
      <c r="A248" s="4">
        <f>Personnel!M248</f>
        <v>3</v>
      </c>
      <c r="B248" s="5" t="str">
        <f>Personnel!D248</f>
        <v>Personnel administratif</v>
      </c>
      <c r="C248" s="5" t="str">
        <f>Personnel!B248&amp;" "&amp;Personnel!C248</f>
        <v>Sepp Jordi</v>
      </c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</row>
    <row r="249" spans="1:77" x14ac:dyDescent="0.3">
      <c r="A249" s="4">
        <f>Personnel!M249</f>
        <v>2</v>
      </c>
      <c r="B249" s="5" t="str">
        <f>Personnel!D249</f>
        <v>Personnel administratif</v>
      </c>
      <c r="C249" s="5" t="str">
        <f>Personnel!B249&amp;" "&amp;Personnel!C249</f>
        <v>Ann Odette</v>
      </c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</row>
    <row r="250" spans="1:77" x14ac:dyDescent="0.3">
      <c r="A250" s="4">
        <f>Personnel!M250</f>
        <v>1</v>
      </c>
      <c r="B250" s="5" t="str">
        <f>Personnel!D250</f>
        <v>Personnel administratif</v>
      </c>
      <c r="C250" s="5" t="str">
        <f>Personnel!B250&amp;" "&amp;Personnel!C250</f>
        <v>Pollux Luther</v>
      </c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</row>
    <row r="251" spans="1:77" x14ac:dyDescent="0.3">
      <c r="A251" s="4">
        <f>Personnel!M251</f>
        <v>3</v>
      </c>
      <c r="B251" s="5" t="str">
        <f>Personnel!D251</f>
        <v>Personnel administratif</v>
      </c>
      <c r="C251" s="5" t="str">
        <f>Personnel!B251&amp;" "&amp;Personnel!C251</f>
        <v>Ngaio Alanis</v>
      </c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</row>
    <row r="252" spans="1:77" x14ac:dyDescent="0.3">
      <c r="A252" s="4">
        <f>Personnel!M252</f>
        <v>2</v>
      </c>
      <c r="B252" s="5" t="str">
        <f>Personnel!D252</f>
        <v>Personnel administratif</v>
      </c>
      <c r="C252" s="5" t="str">
        <f>Personnel!B252&amp;" "&amp;Personnel!C252</f>
        <v>Liviu Takako</v>
      </c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</row>
    <row r="253" spans="1:77" x14ac:dyDescent="0.3">
      <c r="A253" s="4">
        <f>Personnel!M253</f>
        <v>2</v>
      </c>
      <c r="B253" s="5" t="str">
        <f>Personnel!D253</f>
        <v>Personnel administratif</v>
      </c>
      <c r="C253" s="5" t="str">
        <f>Personnel!B253&amp;" "&amp;Personnel!C253</f>
        <v>Heaven Bartal</v>
      </c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</row>
    <row r="254" spans="1:77" x14ac:dyDescent="0.3">
      <c r="A254" s="4">
        <f>Personnel!M254</f>
        <v>3</v>
      </c>
      <c r="B254" s="5" t="str">
        <f>Personnel!D254</f>
        <v>Personnel administratif</v>
      </c>
      <c r="C254" s="5" t="str">
        <f>Personnel!B254&amp;" "&amp;Personnel!C254</f>
        <v>Susumu Scotty</v>
      </c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</row>
    <row r="255" spans="1:77" x14ac:dyDescent="0.3">
      <c r="A255" s="4">
        <f>Personnel!M255</f>
        <v>2</v>
      </c>
      <c r="B255" s="5" t="str">
        <f>Personnel!D255</f>
        <v>Personnel administratif</v>
      </c>
      <c r="C255" s="5" t="str">
        <f>Personnel!B255&amp;" "&amp;Personnel!C255</f>
        <v>Kali Venceslav</v>
      </c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</row>
    <row r="256" spans="1:77" x14ac:dyDescent="0.3">
      <c r="A256" s="4">
        <f>Personnel!M256</f>
        <v>1</v>
      </c>
      <c r="B256" s="5" t="str">
        <f>Personnel!D256</f>
        <v>Personnel administratif</v>
      </c>
      <c r="C256" s="5" t="str">
        <f>Personnel!B256&amp;" "&amp;Personnel!C256</f>
        <v>Francene Trijntje</v>
      </c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</row>
    <row r="257" spans="1:77" x14ac:dyDescent="0.3">
      <c r="A257" s="4">
        <f>Personnel!M257</f>
        <v>2</v>
      </c>
      <c r="B257" s="5" t="str">
        <f>Personnel!D257</f>
        <v>Personnel administratif</v>
      </c>
      <c r="C257" s="5" t="str">
        <f>Personnel!B257&amp;" "&amp;Personnel!C257</f>
        <v>Manus Talya</v>
      </c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</row>
    <row r="258" spans="1:77" x14ac:dyDescent="0.3">
      <c r="A258" s="4">
        <f>Personnel!M258</f>
        <v>1</v>
      </c>
      <c r="B258" s="5" t="str">
        <f>Personnel!D258</f>
        <v>Personnel administratif</v>
      </c>
      <c r="C258" s="5" t="str">
        <f>Personnel!B258&amp;" "&amp;Personnel!C258</f>
        <v>Jirí Terese</v>
      </c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</row>
    <row r="259" spans="1:77" x14ac:dyDescent="0.3">
      <c r="A259" s="4">
        <f>Personnel!M259</f>
        <v>1</v>
      </c>
      <c r="B259" s="5" t="str">
        <f>Personnel!D259</f>
        <v>Personnel administratif</v>
      </c>
      <c r="C259" s="5" t="str">
        <f>Personnel!B259&amp;" "&amp;Personnel!C259</f>
        <v>Ciara Christen</v>
      </c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</row>
    <row r="260" spans="1:77" x14ac:dyDescent="0.3">
      <c r="A260" s="4">
        <f>Personnel!M260</f>
        <v>2</v>
      </c>
      <c r="B260" s="5" t="str">
        <f>Personnel!D260</f>
        <v>Personnel administratif</v>
      </c>
      <c r="C260" s="5" t="str">
        <f>Personnel!B260&amp;" "&amp;Personnel!C260</f>
        <v>Janice Lothario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</row>
    <row r="261" spans="1:77" x14ac:dyDescent="0.3">
      <c r="A261" s="4">
        <f>Personnel!M261</f>
        <v>1</v>
      </c>
      <c r="B261" s="5" t="str">
        <f>Personnel!D261</f>
        <v>Personnel administratif</v>
      </c>
      <c r="C261" s="5" t="str">
        <f>Personnel!B261&amp;" "&amp;Personnel!C261</f>
        <v>Zaray Krishna</v>
      </c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</row>
    <row r="262" spans="1:77" x14ac:dyDescent="0.3">
      <c r="A262" s="4">
        <f>Personnel!M262</f>
        <v>2</v>
      </c>
      <c r="B262" s="5" t="str">
        <f>Personnel!D262</f>
        <v>Personnel administratif</v>
      </c>
      <c r="C262" s="5" t="str">
        <f>Personnel!B262&amp;" "&amp;Personnel!C262</f>
        <v>Lucasta Tabatha</v>
      </c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</row>
    <row r="263" spans="1:77" x14ac:dyDescent="0.3">
      <c r="A263" s="4">
        <f>Personnel!M263</f>
        <v>2</v>
      </c>
      <c r="B263" s="5" t="str">
        <f>Personnel!D263</f>
        <v>Personnel administratif</v>
      </c>
      <c r="C263" s="5" t="str">
        <f>Personnel!B263&amp;" "&amp;Personnel!C263</f>
        <v>Riaz Tímea</v>
      </c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</row>
    <row r="264" spans="1:77" x14ac:dyDescent="0.3">
      <c r="A264" s="4">
        <f>Personnel!M264</f>
        <v>3</v>
      </c>
      <c r="B264" s="5" t="str">
        <f>Personnel!D264</f>
        <v>Personnel administratif</v>
      </c>
      <c r="C264" s="5" t="str">
        <f>Personnel!B264&amp;" "&amp;Personnel!C264</f>
        <v>Randy Lyall</v>
      </c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</row>
    <row r="265" spans="1:77" x14ac:dyDescent="0.3">
      <c r="A265" s="4">
        <f>Personnel!M265</f>
        <v>2</v>
      </c>
      <c r="B265" s="5" t="str">
        <f>Personnel!D265</f>
        <v>Personnel administratif</v>
      </c>
      <c r="C265" s="5" t="str">
        <f>Personnel!B265&amp;" "&amp;Personnel!C265</f>
        <v>Sebestyen Fouad</v>
      </c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</row>
    <row r="266" spans="1:77" x14ac:dyDescent="0.3">
      <c r="A266" s="4">
        <f>Personnel!M266</f>
        <v>1</v>
      </c>
      <c r="B266" s="5" t="str">
        <f>Personnel!D266</f>
        <v>Personnel administratif</v>
      </c>
      <c r="C266" s="5" t="str">
        <f>Personnel!B266&amp;" "&amp;Personnel!C266</f>
        <v>Wilkie Gilchrist</v>
      </c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</row>
    <row r="267" spans="1:77" x14ac:dyDescent="0.3">
      <c r="A267" s="4">
        <f>Personnel!M267</f>
        <v>1</v>
      </c>
      <c r="B267" s="5" t="str">
        <f>Personnel!D267</f>
        <v>Personnel administratif</v>
      </c>
      <c r="C267" s="5" t="str">
        <f>Personnel!B267&amp;" "&amp;Personnel!C267</f>
        <v>Denise Obadiah</v>
      </c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</row>
    <row r="268" spans="1:77" x14ac:dyDescent="0.3">
      <c r="A268" s="4">
        <f>Personnel!M268</f>
        <v>2</v>
      </c>
      <c r="B268" s="5" t="str">
        <f>Personnel!D268</f>
        <v>Personnel administratif</v>
      </c>
      <c r="C268" s="5" t="str">
        <f>Personnel!B268&amp;" "&amp;Personnel!C268</f>
        <v>Hadassah Torger</v>
      </c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</row>
    <row r="269" spans="1:77" x14ac:dyDescent="0.3">
      <c r="A269" s="4">
        <f>Personnel!M269</f>
        <v>3</v>
      </c>
      <c r="B269" s="5" t="str">
        <f>Personnel!D269</f>
        <v>Personnel administratif</v>
      </c>
      <c r="C269" s="5" t="str">
        <f>Personnel!B269&amp;" "&amp;Personnel!C269</f>
        <v>Anjelica Cillín</v>
      </c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</row>
    <row r="270" spans="1:77" x14ac:dyDescent="0.3">
      <c r="A270" s="4">
        <f>Personnel!M270</f>
        <v>1</v>
      </c>
      <c r="B270" s="5" t="str">
        <f>Personnel!D270</f>
        <v>Personnel administratif</v>
      </c>
      <c r="C270" s="5" t="str">
        <f>Personnel!B270&amp;" "&amp;Personnel!C270</f>
        <v>Hugh Braelyn</v>
      </c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</row>
    <row r="271" spans="1:77" x14ac:dyDescent="0.3">
      <c r="A271" s="4">
        <f>Personnel!M271</f>
        <v>3</v>
      </c>
      <c r="B271" s="5" t="str">
        <f>Personnel!D271</f>
        <v>Personnel administratif</v>
      </c>
      <c r="C271" s="5" t="str">
        <f>Personnel!B271&amp;" "&amp;Personnel!C271</f>
        <v>Elzbieta Hyam</v>
      </c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</row>
    <row r="272" spans="1:77" x14ac:dyDescent="0.3">
      <c r="A272" s="4">
        <f>Personnel!M272</f>
        <v>1</v>
      </c>
      <c r="B272" s="5" t="str">
        <f>Personnel!D272</f>
        <v>Personnel administratif</v>
      </c>
      <c r="C272" s="5" t="str">
        <f>Personnel!B272&amp;" "&amp;Personnel!C272</f>
        <v>Kasia Siv</v>
      </c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</row>
    <row r="273" spans="1:77" x14ac:dyDescent="0.3">
      <c r="A273" s="4">
        <f>Personnel!M273</f>
        <v>1</v>
      </c>
      <c r="B273" s="5" t="str">
        <f>Personnel!D273</f>
        <v>Personnel administratif</v>
      </c>
      <c r="C273" s="5" t="str">
        <f>Personnel!B273&amp;" "&amp;Personnel!C273</f>
        <v>Caspar Fabian</v>
      </c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</row>
    <row r="274" spans="1:77" x14ac:dyDescent="0.3">
      <c r="A274" s="4">
        <f>Personnel!M274</f>
        <v>2</v>
      </c>
      <c r="B274" s="5" t="str">
        <f>Personnel!D274</f>
        <v>Personnel administratif</v>
      </c>
      <c r="C274" s="5" t="str">
        <f>Personnel!B274&amp;" "&amp;Personnel!C274</f>
        <v>Ashlie Jedrzej</v>
      </c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</row>
    <row r="275" spans="1:77" x14ac:dyDescent="0.3">
      <c r="A275" s="4">
        <f>Personnel!M275</f>
        <v>2</v>
      </c>
      <c r="B275" s="5" t="str">
        <f>Personnel!D275</f>
        <v>Personnel administratif</v>
      </c>
      <c r="C275" s="5" t="str">
        <f>Personnel!B275&amp;" "&amp;Personnel!C275</f>
        <v>Yvo Halldóra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</row>
    <row r="276" spans="1:77" x14ac:dyDescent="0.3">
      <c r="A276" s="4">
        <f>Personnel!M276</f>
        <v>1</v>
      </c>
      <c r="B276" s="5" t="str">
        <f>Personnel!D276</f>
        <v>Personnel administratif</v>
      </c>
      <c r="C276" s="5" t="str">
        <f>Personnel!B276&amp;" "&amp;Personnel!C276</f>
        <v>Ruaridh Zena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</row>
    <row r="277" spans="1:77" x14ac:dyDescent="0.3">
      <c r="A277" s="4">
        <f>Personnel!M277</f>
        <v>2</v>
      </c>
      <c r="B277" s="5" t="str">
        <f>Personnel!D277</f>
        <v>Personnel administratif</v>
      </c>
      <c r="C277" s="5" t="str">
        <f>Personnel!B277&amp;" "&amp;Personnel!C277</f>
        <v>Sylvana Mervyn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</row>
    <row r="278" spans="1:77" x14ac:dyDescent="0.3">
      <c r="A278" s="4">
        <f>Personnel!M278</f>
        <v>1</v>
      </c>
      <c r="B278" s="5" t="str">
        <f>Personnel!D278</f>
        <v>Personnel administratif</v>
      </c>
      <c r="C278" s="5" t="str">
        <f>Personnel!B278&amp;" "&amp;Personnel!C278</f>
        <v>Henrik Damiana</v>
      </c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</row>
    <row r="279" spans="1:77" x14ac:dyDescent="0.3">
      <c r="A279" s="4">
        <f>Personnel!M279</f>
        <v>3</v>
      </c>
      <c r="B279" s="5" t="str">
        <f>Personnel!D279</f>
        <v>Personnel administratif</v>
      </c>
      <c r="C279" s="5" t="str">
        <f>Personnel!B279&amp;" "&amp;Personnel!C279</f>
        <v>Brandt Aarne</v>
      </c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</row>
    <row r="280" spans="1:77" x14ac:dyDescent="0.3">
      <c r="A280" s="4">
        <f>Personnel!M280</f>
        <v>1</v>
      </c>
      <c r="B280" s="5" t="str">
        <f>Personnel!D280</f>
        <v>Personnel administratif</v>
      </c>
      <c r="C280" s="5" t="str">
        <f>Personnel!B280&amp;" "&amp;Personnel!C280</f>
        <v>Aloisia Tendai</v>
      </c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</row>
    <row r="281" spans="1:77" x14ac:dyDescent="0.3">
      <c r="A281" s="4">
        <f>Personnel!M281</f>
        <v>2</v>
      </c>
      <c r="B281" s="5" t="str">
        <f>Personnel!D281</f>
        <v>Personnel administratif</v>
      </c>
      <c r="C281" s="5" t="str">
        <f>Personnel!B281&amp;" "&amp;Personnel!C281</f>
        <v>Pål Sroel</v>
      </c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</row>
    <row r="282" spans="1:77" x14ac:dyDescent="0.3">
      <c r="A282" s="4">
        <f>Personnel!M282</f>
        <v>3</v>
      </c>
      <c r="B282" s="5" t="str">
        <f>Personnel!D282</f>
        <v>Personnel administratif</v>
      </c>
      <c r="C282" s="5" t="str">
        <f>Personnel!B282&amp;" "&amp;Personnel!C282</f>
        <v>Xyleena Farley</v>
      </c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</row>
    <row r="283" spans="1:77" x14ac:dyDescent="0.3">
      <c r="A283" s="4">
        <f>Personnel!M283</f>
        <v>2</v>
      </c>
      <c r="B283" s="5" t="str">
        <f>Personnel!D283</f>
        <v>Personnel administratif</v>
      </c>
      <c r="C283" s="5" t="str">
        <f>Personnel!B283&amp;" "&amp;Personnel!C283</f>
        <v>Earleen Ruben</v>
      </c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</row>
    <row r="284" spans="1:77" x14ac:dyDescent="0.3">
      <c r="A284" s="4">
        <f>Personnel!M284</f>
        <v>3</v>
      </c>
      <c r="B284" s="5" t="str">
        <f>Personnel!D284</f>
        <v>Personnel administratif</v>
      </c>
      <c r="C284" s="5" t="str">
        <f>Personnel!B284&amp;" "&amp;Personnel!C284</f>
        <v>Yorick Zella</v>
      </c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</row>
    <row r="285" spans="1:77" x14ac:dyDescent="0.3">
      <c r="A285" s="4">
        <f>Personnel!M285</f>
        <v>1</v>
      </c>
      <c r="B285" s="5" t="str">
        <f>Personnel!D285</f>
        <v>Personnel administratif</v>
      </c>
      <c r="C285" s="5" t="str">
        <f>Personnel!B285&amp;" "&amp;Personnel!C285</f>
        <v>Chas Anat</v>
      </c>
      <c r="D285" s="2"/>
      <c r="E285" s="2"/>
      <c r="F285" s="2"/>
      <c r="G285" s="2"/>
      <c r="H285" s="2"/>
      <c r="I285" s="2"/>
      <c r="J285" s="2"/>
      <c r="K285" s="2"/>
      <c r="L285" s="21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</row>
    <row r="286" spans="1:77" x14ac:dyDescent="0.3">
      <c r="A286" s="4">
        <f>Personnel!M286</f>
        <v>2</v>
      </c>
      <c r="B286" s="5" t="str">
        <f>Personnel!D286</f>
        <v>Personnel administratif</v>
      </c>
      <c r="C286" s="5" t="str">
        <f>Personnel!B286&amp;" "&amp;Personnel!C286</f>
        <v>Dark Vador</v>
      </c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</row>
    <row r="287" spans="1:77" x14ac:dyDescent="0.3">
      <c r="A287" s="4"/>
      <c r="B287" s="5"/>
      <c r="C287" s="5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</row>
    <row r="288" spans="1:77" x14ac:dyDescent="0.3">
      <c r="A288" s="4"/>
      <c r="B288" s="5"/>
      <c r="C288" s="5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</row>
    <row r="289" spans="1:77" x14ac:dyDescent="0.3">
      <c r="A289" s="4">
        <v>1</v>
      </c>
      <c r="B289" s="5" t="s">
        <v>22</v>
      </c>
      <c r="C289" s="5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</row>
    <row r="290" spans="1:77" x14ac:dyDescent="0.3">
      <c r="A290" s="4"/>
      <c r="B290" s="5"/>
      <c r="C290" s="5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</row>
    <row r="291" spans="1:77" x14ac:dyDescent="0.3">
      <c r="A291" s="4"/>
      <c r="B291" s="5"/>
      <c r="C291" s="5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</row>
    <row r="292" spans="1:77" x14ac:dyDescent="0.3">
      <c r="A292" s="4"/>
      <c r="B292" s="5"/>
      <c r="C292" s="5"/>
    </row>
    <row r="293" spans="1:77" x14ac:dyDescent="0.3">
      <c r="A293" s="4"/>
      <c r="B293" s="5"/>
      <c r="C293" s="5"/>
    </row>
    <row r="294" spans="1:77" x14ac:dyDescent="0.3">
      <c r="A294" s="4"/>
      <c r="B294" s="5"/>
      <c r="C294" s="5"/>
    </row>
    <row r="295" spans="1:77" x14ac:dyDescent="0.3">
      <c r="A295" s="4"/>
      <c r="B295" s="5"/>
      <c r="C295" s="5"/>
    </row>
    <row r="296" spans="1:77" x14ac:dyDescent="0.3">
      <c r="A296" s="4"/>
      <c r="B296" s="5"/>
      <c r="C296" s="5"/>
    </row>
    <row r="297" spans="1:77" x14ac:dyDescent="0.3">
      <c r="A297" s="4"/>
      <c r="B297" s="5"/>
      <c r="C297" s="5"/>
    </row>
    <row r="298" spans="1:77" x14ac:dyDescent="0.3">
      <c r="A298" s="4"/>
      <c r="B298" s="5"/>
      <c r="C298" s="5"/>
    </row>
    <row r="299" spans="1:77" x14ac:dyDescent="0.3">
      <c r="A299" s="4"/>
      <c r="B299" s="5"/>
      <c r="C299" s="5"/>
    </row>
    <row r="300" spans="1:77" x14ac:dyDescent="0.3">
      <c r="A300" s="4"/>
      <c r="B300" s="5"/>
      <c r="C300" s="5"/>
    </row>
    <row r="301" spans="1:77" x14ac:dyDescent="0.3">
      <c r="A301" s="4"/>
      <c r="B301" s="5"/>
      <c r="C301" s="5"/>
    </row>
    <row r="302" spans="1:77" x14ac:dyDescent="0.3">
      <c r="A302" s="4"/>
      <c r="B302" s="5"/>
      <c r="C302" s="5"/>
    </row>
    <row r="303" spans="1:77" x14ac:dyDescent="0.3">
      <c r="A303" s="4"/>
      <c r="B303" s="5"/>
      <c r="C303" s="5"/>
    </row>
    <row r="304" spans="1:77" x14ac:dyDescent="0.3">
      <c r="A304" s="4"/>
      <c r="B304" s="5"/>
      <c r="C304" s="5"/>
    </row>
    <row r="305" spans="1:3" x14ac:dyDescent="0.3">
      <c r="A305" s="4"/>
      <c r="B305" s="5"/>
      <c r="C305" s="5"/>
    </row>
    <row r="306" spans="1:3" x14ac:dyDescent="0.3">
      <c r="A306" s="4"/>
      <c r="B306" s="5"/>
      <c r="C306" s="5"/>
    </row>
    <row r="307" spans="1:3" x14ac:dyDescent="0.3">
      <c r="A307" s="4"/>
      <c r="B307" s="5"/>
      <c r="C307" s="5"/>
    </row>
    <row r="308" spans="1:3" x14ac:dyDescent="0.3">
      <c r="A308" s="4"/>
      <c r="B308" s="5"/>
      <c r="C308" s="5"/>
    </row>
    <row r="309" spans="1:3" x14ac:dyDescent="0.3">
      <c r="A309" s="4"/>
      <c r="B309" s="5"/>
      <c r="C309" s="5"/>
    </row>
    <row r="310" spans="1:3" x14ac:dyDescent="0.3">
      <c r="A310" s="4"/>
      <c r="B310" s="5"/>
      <c r="C310" s="5"/>
    </row>
    <row r="311" spans="1:3" x14ac:dyDescent="0.3">
      <c r="A311" s="4"/>
      <c r="B311" s="5"/>
      <c r="C311" s="5"/>
    </row>
    <row r="312" spans="1:3" x14ac:dyDescent="0.3">
      <c r="A312" s="4"/>
      <c r="B312" s="5"/>
      <c r="C312" s="5"/>
    </row>
    <row r="313" spans="1:3" x14ac:dyDescent="0.3">
      <c r="A313" s="4"/>
      <c r="B313" s="5"/>
      <c r="C313" s="5"/>
    </row>
    <row r="314" spans="1:3" x14ac:dyDescent="0.3">
      <c r="A314" s="4"/>
      <c r="B314" s="5"/>
      <c r="C314" s="5"/>
    </row>
    <row r="315" spans="1:3" x14ac:dyDescent="0.3">
      <c r="A315" s="4"/>
      <c r="B315" s="5"/>
      <c r="C315" s="5"/>
    </row>
    <row r="316" spans="1:3" x14ac:dyDescent="0.3">
      <c r="A316" s="4"/>
      <c r="B316" s="5"/>
      <c r="C316" s="5"/>
    </row>
    <row r="317" spans="1:3" x14ac:dyDescent="0.3">
      <c r="A317" s="4"/>
      <c r="B317" s="5"/>
      <c r="C317" s="5"/>
    </row>
    <row r="318" spans="1:3" x14ac:dyDescent="0.3">
      <c r="A318" s="4"/>
      <c r="B318" s="5"/>
      <c r="C318" s="5"/>
    </row>
    <row r="319" spans="1:3" x14ac:dyDescent="0.3">
      <c r="A319" s="4"/>
      <c r="B319" s="5"/>
      <c r="C319" s="5"/>
    </row>
    <row r="320" spans="1:3" x14ac:dyDescent="0.3">
      <c r="A320" s="4"/>
      <c r="B320" s="5"/>
      <c r="C320" s="5"/>
    </row>
    <row r="321" spans="1:3" x14ac:dyDescent="0.3">
      <c r="A321" s="4"/>
      <c r="B321" s="5"/>
      <c r="C321" s="5"/>
    </row>
    <row r="322" spans="1:3" x14ac:dyDescent="0.3">
      <c r="A322" s="4"/>
      <c r="B322" s="5"/>
      <c r="C322" s="5"/>
    </row>
    <row r="323" spans="1:3" x14ac:dyDescent="0.3">
      <c r="A323" s="4"/>
      <c r="B323" s="5"/>
      <c r="C323" s="5"/>
    </row>
    <row r="324" spans="1:3" x14ac:dyDescent="0.3">
      <c r="A324" s="4"/>
      <c r="B324" s="5"/>
      <c r="C324" s="5"/>
    </row>
    <row r="325" spans="1:3" x14ac:dyDescent="0.3">
      <c r="A325" s="4"/>
      <c r="B325" s="5"/>
      <c r="C325" s="5"/>
    </row>
    <row r="326" spans="1:3" x14ac:dyDescent="0.3">
      <c r="A326" s="4"/>
      <c r="B326" s="5"/>
      <c r="C326" s="5"/>
    </row>
    <row r="327" spans="1:3" x14ac:dyDescent="0.3">
      <c r="A327" s="4"/>
      <c r="B327" s="5"/>
      <c r="C327" s="5"/>
    </row>
    <row r="328" spans="1:3" x14ac:dyDescent="0.3">
      <c r="A328" s="4"/>
      <c r="B328" s="5"/>
      <c r="C328" s="5"/>
    </row>
    <row r="329" spans="1:3" x14ac:dyDescent="0.3">
      <c r="A329" s="4"/>
      <c r="B329" s="5"/>
      <c r="C329" s="5"/>
    </row>
    <row r="330" spans="1:3" x14ac:dyDescent="0.3">
      <c r="A330" s="4"/>
      <c r="B330" s="5"/>
      <c r="C330" s="5"/>
    </row>
    <row r="331" spans="1:3" x14ac:dyDescent="0.3">
      <c r="A331" s="4"/>
      <c r="B331" s="5"/>
      <c r="C331" s="5"/>
    </row>
    <row r="332" spans="1:3" x14ac:dyDescent="0.3">
      <c r="A332" s="4"/>
      <c r="B332" s="5"/>
      <c r="C332" s="5"/>
    </row>
    <row r="333" spans="1:3" x14ac:dyDescent="0.3">
      <c r="A333" s="4"/>
      <c r="B333" s="5"/>
      <c r="C333" s="5"/>
    </row>
    <row r="334" spans="1:3" x14ac:dyDescent="0.3">
      <c r="A334" s="4"/>
      <c r="B334" s="5"/>
      <c r="C334" s="5"/>
    </row>
    <row r="335" spans="1:3" x14ac:dyDescent="0.3">
      <c r="A335" s="4"/>
      <c r="B335" s="5"/>
      <c r="C335" s="5"/>
    </row>
  </sheetData>
  <autoFilter ref="A3:BY218" xr:uid="{00000000-0009-0000-0000-000000000000}"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sortState xmlns:xlrd2="http://schemas.microsoft.com/office/spreadsheetml/2017/richdata2" ref="A4:BY215">
      <sortCondition descending="1" ref="B3:B215"/>
    </sortState>
  </autoFilter>
  <mergeCells count="75">
    <mergeCell ref="BX1:BY1"/>
    <mergeCell ref="BH2:BI2"/>
    <mergeCell ref="BJ2:BK2"/>
    <mergeCell ref="BL2:BM2"/>
    <mergeCell ref="BN2:BO2"/>
    <mergeCell ref="BP2:BQ2"/>
    <mergeCell ref="BR2:BS2"/>
    <mergeCell ref="BT2:BU2"/>
    <mergeCell ref="BV2:BW2"/>
    <mergeCell ref="BX2:BY2"/>
    <mergeCell ref="BL1:BM1"/>
    <mergeCell ref="BN1:BO1"/>
    <mergeCell ref="BP1:BQ1"/>
    <mergeCell ref="BR1:BS1"/>
    <mergeCell ref="BT1:BU1"/>
    <mergeCell ref="BV1:BW1"/>
    <mergeCell ref="AV2:AW2"/>
    <mergeCell ref="AX2:AY2"/>
    <mergeCell ref="BJ1:BK1"/>
    <mergeCell ref="AX1:AY1"/>
    <mergeCell ref="AZ1:BA1"/>
    <mergeCell ref="BB1:BC1"/>
    <mergeCell ref="BD1:BE1"/>
    <mergeCell ref="BF1:BG1"/>
    <mergeCell ref="AZ2:BA2"/>
    <mergeCell ref="BB2:BC2"/>
    <mergeCell ref="BD2:BE2"/>
    <mergeCell ref="BF2:BG2"/>
    <mergeCell ref="BH1:BI1"/>
    <mergeCell ref="AV1:AW1"/>
    <mergeCell ref="AL2:AM2"/>
    <mergeCell ref="AN2:AO2"/>
    <mergeCell ref="AP1:AQ1"/>
    <mergeCell ref="AR1:AS1"/>
    <mergeCell ref="AT1:AU1"/>
    <mergeCell ref="AP2:AQ2"/>
    <mergeCell ref="AR2:AS2"/>
    <mergeCell ref="AT2:AU2"/>
    <mergeCell ref="AJ1:AK1"/>
    <mergeCell ref="AL1:AM1"/>
    <mergeCell ref="AN1:AO1"/>
    <mergeCell ref="X2:Y2"/>
    <mergeCell ref="Z2:AA2"/>
    <mergeCell ref="AB2:AC2"/>
    <mergeCell ref="AD2:AE2"/>
    <mergeCell ref="AF2:AG2"/>
    <mergeCell ref="AH2:AI2"/>
    <mergeCell ref="AJ2:AK2"/>
    <mergeCell ref="X1:Y1"/>
    <mergeCell ref="Z1:AA1"/>
    <mergeCell ref="AB1:AC1"/>
    <mergeCell ref="AD1:AE1"/>
    <mergeCell ref="AF1:AG1"/>
    <mergeCell ref="AH1:AI1"/>
    <mergeCell ref="T1:U1"/>
    <mergeCell ref="V1:W1"/>
    <mergeCell ref="R2:S2"/>
    <mergeCell ref="T2:U2"/>
    <mergeCell ref="V2:W2"/>
    <mergeCell ref="BZ3:CA3"/>
    <mergeCell ref="D1:E1"/>
    <mergeCell ref="D2:E2"/>
    <mergeCell ref="F1:G1"/>
    <mergeCell ref="F2:G2"/>
    <mergeCell ref="H1:I1"/>
    <mergeCell ref="H2:I2"/>
    <mergeCell ref="J1:K1"/>
    <mergeCell ref="J2:K2"/>
    <mergeCell ref="L1:M1"/>
    <mergeCell ref="N1:O1"/>
    <mergeCell ref="P1:Q1"/>
    <mergeCell ref="L2:M2"/>
    <mergeCell ref="N2:O2"/>
    <mergeCell ref="P2:Q2"/>
    <mergeCell ref="R1:S1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CA666"/>
  <sheetViews>
    <sheetView zoomScale="80" zoomScaleNormal="80" workbookViewId="0">
      <pane ySplit="1" topLeftCell="A2" activePane="bottomLeft" state="frozen"/>
      <selection pane="bottomLeft" activeCell="P21" sqref="P21"/>
    </sheetView>
  </sheetViews>
  <sheetFormatPr baseColWidth="10" defaultRowHeight="14.4" x14ac:dyDescent="0.3"/>
  <cols>
    <col min="1" max="1" width="21" bestFit="1" customWidth="1"/>
    <col min="2" max="2" width="17.33203125" bestFit="1" customWidth="1"/>
    <col min="3" max="3" width="12" bestFit="1" customWidth="1"/>
    <col min="4" max="4" width="14.6640625" bestFit="1" customWidth="1"/>
    <col min="5" max="5" width="11.33203125" bestFit="1" customWidth="1"/>
    <col min="6" max="11" width="4.44140625" bestFit="1" customWidth="1"/>
    <col min="12" max="14" width="7.88671875" bestFit="1" customWidth="1"/>
    <col min="15" max="79" width="4.44140625" bestFit="1" customWidth="1"/>
  </cols>
  <sheetData>
    <row r="1" spans="1:79" x14ac:dyDescent="0.3">
      <c r="F1" s="24" t="str">
        <f>TEXT(F2,"jjj")</f>
        <v>dim</v>
      </c>
      <c r="G1" s="24"/>
      <c r="H1" s="24" t="str">
        <f>TEXT(H2,"jjj")</f>
        <v>lun</v>
      </c>
      <c r="I1" s="24"/>
      <c r="J1" s="24" t="str">
        <f>TEXT(J2,"jjj")</f>
        <v>mar</v>
      </c>
      <c r="K1" s="24"/>
      <c r="L1" s="24" t="str">
        <f>TEXT(L2,"jjj")</f>
        <v>mer</v>
      </c>
      <c r="M1" s="24"/>
      <c r="N1" s="24" t="str">
        <f>TEXT(N2,"jjj")</f>
        <v>jeu</v>
      </c>
      <c r="O1" s="24"/>
      <c r="P1" s="24" t="str">
        <f>TEXT(P2,"jjj")</f>
        <v>ven</v>
      </c>
      <c r="Q1" s="24"/>
      <c r="R1" s="24" t="str">
        <f>TEXT(R2,"jjj")</f>
        <v>sam</v>
      </c>
      <c r="S1" s="24"/>
      <c r="T1" s="24" t="str">
        <f>TEXT(T2,"jjj")</f>
        <v>dim</v>
      </c>
      <c r="U1" s="24"/>
      <c r="V1" s="24" t="str">
        <f>TEXT(V2,"jjj")</f>
        <v>lun</v>
      </c>
      <c r="W1" s="24"/>
      <c r="X1" s="24" t="str">
        <f>TEXT(X2,"jjj")</f>
        <v>mar</v>
      </c>
      <c r="Y1" s="24"/>
      <c r="Z1" s="24" t="str">
        <f>TEXT(Z2,"jjj")</f>
        <v>mer</v>
      </c>
      <c r="AA1" s="24"/>
      <c r="AB1" s="24" t="str">
        <f>TEXT(AB2,"jjj")</f>
        <v>jeu</v>
      </c>
      <c r="AC1" s="24"/>
      <c r="AD1" s="24" t="str">
        <f>TEXT(AD2,"jjj")</f>
        <v>ven</v>
      </c>
      <c r="AE1" s="24"/>
      <c r="AF1" s="24" t="str">
        <f>TEXT(AF2,"jjj")</f>
        <v>sam</v>
      </c>
      <c r="AG1" s="24"/>
      <c r="AH1" s="24" t="str">
        <f>TEXT(AH2,"jjj")</f>
        <v>dim</v>
      </c>
      <c r="AI1" s="24"/>
      <c r="AJ1" s="24" t="str">
        <f>TEXT(AJ2,"jjj")</f>
        <v>lun</v>
      </c>
      <c r="AK1" s="24"/>
      <c r="AL1" s="24" t="str">
        <f>TEXT(AL2,"jjj")</f>
        <v>mar</v>
      </c>
      <c r="AM1" s="24"/>
      <c r="AN1" s="24" t="str">
        <f>TEXT(AN2,"jjj")</f>
        <v>mer</v>
      </c>
      <c r="AO1" s="24"/>
      <c r="AP1" s="24" t="str">
        <f>TEXT(AP2,"jjj")</f>
        <v>jeu</v>
      </c>
      <c r="AQ1" s="24"/>
      <c r="AR1" s="24" t="str">
        <f>TEXT(AR2,"jjj")</f>
        <v>ven</v>
      </c>
      <c r="AS1" s="24"/>
      <c r="AT1" s="24" t="str">
        <f>TEXT(AT2,"jjj")</f>
        <v>sam</v>
      </c>
      <c r="AU1" s="24"/>
      <c r="AV1" s="24" t="str">
        <f>TEXT(AV2,"jjj")</f>
        <v>dim</v>
      </c>
      <c r="AW1" s="24"/>
      <c r="AX1" s="24" t="str">
        <f>TEXT(AX2,"jjj")</f>
        <v>lun</v>
      </c>
      <c r="AY1" s="24"/>
      <c r="AZ1" s="24" t="str">
        <f>TEXT(AZ2,"jjj")</f>
        <v>mar</v>
      </c>
      <c r="BA1" s="24"/>
      <c r="BB1" s="24" t="str">
        <f>TEXT(BB2,"jjj")</f>
        <v>mer</v>
      </c>
      <c r="BC1" s="24"/>
      <c r="BD1" s="24" t="str">
        <f>TEXT(BD2,"jjj")</f>
        <v>jeu</v>
      </c>
      <c r="BE1" s="24"/>
      <c r="BF1" s="24" t="str">
        <f>TEXT(BF2,"jjj")</f>
        <v>ven</v>
      </c>
      <c r="BG1" s="24"/>
      <c r="BH1" s="24" t="str">
        <f>TEXT(BH2,"jjj")</f>
        <v>sam</v>
      </c>
      <c r="BI1" s="24"/>
      <c r="BJ1" s="24" t="str">
        <f>TEXT(BJ2,"jjj")</f>
        <v>dim</v>
      </c>
      <c r="BK1" s="24"/>
      <c r="BL1" s="24" t="str">
        <f>TEXT(BL2,"jjj")</f>
        <v>lun</v>
      </c>
      <c r="BM1" s="24"/>
      <c r="BN1" s="24" t="str">
        <f>TEXT(BN2,"jjj")</f>
        <v>mar</v>
      </c>
      <c r="BO1" s="24"/>
      <c r="BP1" s="24" t="str">
        <f>TEXT(BP2,"jjj")</f>
        <v>mer</v>
      </c>
      <c r="BQ1" s="24"/>
      <c r="BR1" s="24" t="str">
        <f>TEXT(BR2,"jjj")</f>
        <v>jeu</v>
      </c>
      <c r="BS1" s="24"/>
      <c r="BT1" s="24" t="str">
        <f>TEXT(BT2,"jjj")</f>
        <v>ven</v>
      </c>
      <c r="BU1" s="24"/>
      <c r="BV1" s="24" t="str">
        <f>TEXT(BV2,"jjj")</f>
        <v>sam</v>
      </c>
      <c r="BW1" s="24"/>
      <c r="BX1" s="24" t="str">
        <f>TEXT(BX2,"jjj")</f>
        <v>dim</v>
      </c>
      <c r="BY1" s="24"/>
      <c r="BZ1" s="24" t="str">
        <f>TEXT(BZ2,"jjj")</f>
        <v>lun</v>
      </c>
      <c r="CA1" s="24"/>
    </row>
    <row r="2" spans="1:79" ht="65.7" customHeight="1" x14ac:dyDescent="0.3">
      <c r="F2" s="25">
        <f>DATE(2020,12,18)-WEEKDAY(DATE(2020,12,18),1)+1</f>
        <v>44178</v>
      </c>
      <c r="G2" s="25"/>
      <c r="H2" s="25">
        <f>F2+1</f>
        <v>44179</v>
      </c>
      <c r="I2" s="25"/>
      <c r="J2" s="25">
        <f t="shared" ref="J2" si="0">H2+1</f>
        <v>44180</v>
      </c>
      <c r="K2" s="25"/>
      <c r="L2" s="25">
        <f t="shared" ref="L2" si="1">J2+1</f>
        <v>44181</v>
      </c>
      <c r="M2" s="25"/>
      <c r="N2" s="25">
        <f t="shared" ref="N2" si="2">L2+1</f>
        <v>44182</v>
      </c>
      <c r="O2" s="25"/>
      <c r="P2" s="25">
        <f t="shared" ref="P2" si="3">N2+1</f>
        <v>44183</v>
      </c>
      <c r="Q2" s="25"/>
      <c r="R2" s="25">
        <f t="shared" ref="R2" si="4">P2+1</f>
        <v>44184</v>
      </c>
      <c r="S2" s="25"/>
      <c r="T2" s="25">
        <f t="shared" ref="T2" si="5">R2+1</f>
        <v>44185</v>
      </c>
      <c r="U2" s="25"/>
      <c r="V2" s="25">
        <f t="shared" ref="V2" si="6">T2+1</f>
        <v>44186</v>
      </c>
      <c r="W2" s="25"/>
      <c r="X2" s="25">
        <f t="shared" ref="X2" si="7">V2+1</f>
        <v>44187</v>
      </c>
      <c r="Y2" s="25"/>
      <c r="Z2" s="25">
        <f t="shared" ref="Z2" si="8">X2+1</f>
        <v>44188</v>
      </c>
      <c r="AA2" s="25"/>
      <c r="AB2" s="25">
        <f t="shared" ref="AB2" si="9">Z2+1</f>
        <v>44189</v>
      </c>
      <c r="AC2" s="25"/>
      <c r="AD2" s="25">
        <f t="shared" ref="AD2" si="10">AB2+1</f>
        <v>44190</v>
      </c>
      <c r="AE2" s="25"/>
      <c r="AF2" s="25">
        <f t="shared" ref="AF2" si="11">AD2+1</f>
        <v>44191</v>
      </c>
      <c r="AG2" s="25"/>
      <c r="AH2" s="25">
        <f t="shared" ref="AH2" si="12">AF2+1</f>
        <v>44192</v>
      </c>
      <c r="AI2" s="25"/>
      <c r="AJ2" s="25">
        <f t="shared" ref="AJ2" si="13">AH2+1</f>
        <v>44193</v>
      </c>
      <c r="AK2" s="25"/>
      <c r="AL2" s="25">
        <f t="shared" ref="AL2" si="14">AJ2+1</f>
        <v>44194</v>
      </c>
      <c r="AM2" s="25"/>
      <c r="AN2" s="25">
        <f t="shared" ref="AN2" si="15">AL2+1</f>
        <v>44195</v>
      </c>
      <c r="AO2" s="25"/>
      <c r="AP2" s="25">
        <f t="shared" ref="AP2" si="16">AN2+1</f>
        <v>44196</v>
      </c>
      <c r="AQ2" s="25"/>
      <c r="AR2" s="25">
        <f t="shared" ref="AR2" si="17">AP2+1</f>
        <v>44197</v>
      </c>
      <c r="AS2" s="25"/>
      <c r="AT2" s="25">
        <f t="shared" ref="AT2" si="18">AR2+1</f>
        <v>44198</v>
      </c>
      <c r="AU2" s="25"/>
      <c r="AV2" s="25">
        <f t="shared" ref="AV2" si="19">AT2+1</f>
        <v>44199</v>
      </c>
      <c r="AW2" s="25"/>
      <c r="AX2" s="25">
        <f t="shared" ref="AX2" si="20">AV2+1</f>
        <v>44200</v>
      </c>
      <c r="AY2" s="25"/>
      <c r="AZ2" s="25">
        <f t="shared" ref="AZ2" si="21">AX2+1</f>
        <v>44201</v>
      </c>
      <c r="BA2" s="25"/>
      <c r="BB2" s="25">
        <f t="shared" ref="BB2" si="22">AZ2+1</f>
        <v>44202</v>
      </c>
      <c r="BC2" s="25"/>
      <c r="BD2" s="25">
        <f t="shared" ref="BD2" si="23">BB2+1</f>
        <v>44203</v>
      </c>
      <c r="BE2" s="25"/>
      <c r="BF2" s="25">
        <f t="shared" ref="BF2" si="24">BD2+1</f>
        <v>44204</v>
      </c>
      <c r="BG2" s="25"/>
      <c r="BH2" s="25">
        <f t="shared" ref="BH2" si="25">BF2+1</f>
        <v>44205</v>
      </c>
      <c r="BI2" s="25"/>
      <c r="BJ2" s="25">
        <f t="shared" ref="BJ2" si="26">BH2+1</f>
        <v>44206</v>
      </c>
      <c r="BK2" s="25"/>
      <c r="BL2" s="25">
        <f t="shared" ref="BL2" si="27">BJ2+1</f>
        <v>44207</v>
      </c>
      <c r="BM2" s="25"/>
      <c r="BN2" s="25">
        <f t="shared" ref="BN2" si="28">BL2+1</f>
        <v>44208</v>
      </c>
      <c r="BO2" s="25"/>
      <c r="BP2" s="25">
        <f t="shared" ref="BP2" si="29">BN2+1</f>
        <v>44209</v>
      </c>
      <c r="BQ2" s="25"/>
      <c r="BR2" s="25">
        <f t="shared" ref="BR2" si="30">BP2+1</f>
        <v>44210</v>
      </c>
      <c r="BS2" s="25"/>
      <c r="BT2" s="25">
        <f t="shared" ref="BT2" si="31">BR2+1</f>
        <v>44211</v>
      </c>
      <c r="BU2" s="25"/>
      <c r="BV2" s="25">
        <f t="shared" ref="BV2" si="32">BT2+1</f>
        <v>44212</v>
      </c>
      <c r="BW2" s="25"/>
      <c r="BX2" s="25">
        <f t="shared" ref="BX2" si="33">BV2+1</f>
        <v>44213</v>
      </c>
      <c r="BY2" s="25"/>
      <c r="BZ2" s="25">
        <f t="shared" ref="BZ2" si="34">BX2+1</f>
        <v>44214</v>
      </c>
      <c r="CA2" s="25"/>
    </row>
    <row r="3" spans="1:79" ht="33" x14ac:dyDescent="0.35">
      <c r="A3" s="1" t="s">
        <v>6</v>
      </c>
      <c r="B3" s="1" t="s">
        <v>2265</v>
      </c>
      <c r="C3" s="1" t="s">
        <v>948</v>
      </c>
      <c r="D3" s="1" t="s">
        <v>2266</v>
      </c>
      <c r="E3" s="1" t="s">
        <v>2267</v>
      </c>
      <c r="F3" s="11" t="s">
        <v>0</v>
      </c>
      <c r="G3" s="11" t="s">
        <v>1</v>
      </c>
      <c r="H3" s="11" t="s">
        <v>0</v>
      </c>
      <c r="I3" s="11" t="s">
        <v>1</v>
      </c>
      <c r="J3" s="11" t="s">
        <v>0</v>
      </c>
      <c r="K3" s="11" t="s">
        <v>1</v>
      </c>
      <c r="L3" s="11" t="s">
        <v>0</v>
      </c>
      <c r="M3" s="11" t="s">
        <v>1</v>
      </c>
      <c r="N3" s="11" t="s">
        <v>0</v>
      </c>
      <c r="O3" s="11" t="s">
        <v>1</v>
      </c>
      <c r="P3" s="11" t="s">
        <v>0</v>
      </c>
      <c r="Q3" s="11" t="s">
        <v>1</v>
      </c>
      <c r="R3" s="11" t="s">
        <v>0</v>
      </c>
      <c r="S3" s="11" t="s">
        <v>1</v>
      </c>
      <c r="T3" s="11" t="s">
        <v>0</v>
      </c>
      <c r="U3" s="11" t="s">
        <v>1</v>
      </c>
      <c r="V3" s="11" t="s">
        <v>0</v>
      </c>
      <c r="W3" s="11" t="s">
        <v>1</v>
      </c>
      <c r="X3" s="11" t="s">
        <v>0</v>
      </c>
      <c r="Y3" s="11" t="s">
        <v>1</v>
      </c>
      <c r="Z3" s="11" t="s">
        <v>0</v>
      </c>
      <c r="AA3" s="11" t="s">
        <v>1</v>
      </c>
      <c r="AB3" s="11" t="s">
        <v>0</v>
      </c>
      <c r="AC3" s="11" t="s">
        <v>1</v>
      </c>
      <c r="AD3" s="11" t="s">
        <v>0</v>
      </c>
      <c r="AE3" s="11" t="s">
        <v>1</v>
      </c>
      <c r="AF3" s="11" t="s">
        <v>0</v>
      </c>
      <c r="AG3" s="11" t="s">
        <v>1</v>
      </c>
      <c r="AH3" s="11" t="s">
        <v>0</v>
      </c>
      <c r="AI3" s="11" t="s">
        <v>1</v>
      </c>
      <c r="AJ3" s="11" t="s">
        <v>0</v>
      </c>
      <c r="AK3" s="11" t="s">
        <v>1</v>
      </c>
      <c r="AL3" s="11" t="s">
        <v>0</v>
      </c>
      <c r="AM3" s="11" t="s">
        <v>1</v>
      </c>
      <c r="AN3" s="11" t="s">
        <v>0</v>
      </c>
      <c r="AO3" s="11" t="s">
        <v>1</v>
      </c>
      <c r="AP3" s="11" t="s">
        <v>0</v>
      </c>
      <c r="AQ3" s="11" t="s">
        <v>1</v>
      </c>
      <c r="AR3" s="11" t="s">
        <v>0</v>
      </c>
      <c r="AS3" s="11" t="s">
        <v>1</v>
      </c>
      <c r="AT3" s="11" t="s">
        <v>0</v>
      </c>
      <c r="AU3" s="11" t="s">
        <v>1</v>
      </c>
      <c r="AV3" s="11" t="s">
        <v>0</v>
      </c>
      <c r="AW3" s="11" t="s">
        <v>1</v>
      </c>
      <c r="AX3" s="11" t="s">
        <v>0</v>
      </c>
      <c r="AY3" s="11" t="s">
        <v>1</v>
      </c>
      <c r="AZ3" s="11" t="s">
        <v>0</v>
      </c>
      <c r="BA3" s="11" t="s">
        <v>1</v>
      </c>
      <c r="BB3" s="11" t="s">
        <v>0</v>
      </c>
      <c r="BC3" s="11" t="s">
        <v>1</v>
      </c>
      <c r="BD3" s="11" t="s">
        <v>0</v>
      </c>
      <c r="BE3" s="11" t="s">
        <v>1</v>
      </c>
      <c r="BF3" s="11" t="s">
        <v>0</v>
      </c>
      <c r="BG3" s="11" t="s">
        <v>1</v>
      </c>
      <c r="BH3" s="11" t="s">
        <v>0</v>
      </c>
      <c r="BI3" s="11" t="s">
        <v>1</v>
      </c>
      <c r="BJ3" s="11" t="s">
        <v>0</v>
      </c>
      <c r="BK3" s="11" t="s">
        <v>1</v>
      </c>
      <c r="BL3" s="11" t="s">
        <v>0</v>
      </c>
      <c r="BM3" s="11" t="s">
        <v>1</v>
      </c>
      <c r="BN3" s="11" t="s">
        <v>0</v>
      </c>
      <c r="BO3" s="11" t="s">
        <v>1</v>
      </c>
      <c r="BP3" s="11" t="s">
        <v>0</v>
      </c>
      <c r="BQ3" s="11" t="s">
        <v>1</v>
      </c>
      <c r="BR3" s="11" t="s">
        <v>0</v>
      </c>
      <c r="BS3" s="11" t="s">
        <v>1</v>
      </c>
      <c r="BT3" s="11" t="s">
        <v>0</v>
      </c>
      <c r="BU3" s="11" t="s">
        <v>1</v>
      </c>
      <c r="BV3" s="11" t="s">
        <v>0</v>
      </c>
      <c r="BW3" s="11" t="s">
        <v>1</v>
      </c>
      <c r="BX3" s="11" t="s">
        <v>0</v>
      </c>
      <c r="BY3" s="11" t="s">
        <v>1</v>
      </c>
      <c r="BZ3" s="11" t="s">
        <v>0</v>
      </c>
      <c r="CA3" s="11" t="s">
        <v>1</v>
      </c>
    </row>
    <row r="4" spans="1:79" x14ac:dyDescent="0.3">
      <c r="A4" s="8">
        <v>1</v>
      </c>
      <c r="B4" s="8" t="s">
        <v>949</v>
      </c>
      <c r="C4" s="8">
        <v>0</v>
      </c>
      <c r="D4" s="8">
        <v>1</v>
      </c>
      <c r="E4" s="8" t="s">
        <v>950</v>
      </c>
      <c r="F4" s="12"/>
      <c r="G4" s="18">
        <v>2</v>
      </c>
      <c r="H4" s="18">
        <v>2</v>
      </c>
      <c r="I4" s="18">
        <v>2</v>
      </c>
      <c r="J4" s="18">
        <v>2</v>
      </c>
      <c r="K4" s="18">
        <v>2</v>
      </c>
      <c r="L4" s="18">
        <v>2</v>
      </c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</row>
    <row r="5" spans="1:79" x14ac:dyDescent="0.3">
      <c r="A5" s="8">
        <v>1</v>
      </c>
      <c r="B5" s="8" t="s">
        <v>949</v>
      </c>
      <c r="C5" s="8">
        <v>0</v>
      </c>
      <c r="D5" s="8">
        <v>2</v>
      </c>
      <c r="E5" s="8" t="s">
        <v>950</v>
      </c>
      <c r="F5" s="12"/>
      <c r="G5" s="12"/>
      <c r="H5" s="18">
        <v>3</v>
      </c>
      <c r="I5" s="18">
        <v>3</v>
      </c>
      <c r="J5" s="18" t="s">
        <v>2782</v>
      </c>
      <c r="K5" s="18" t="s">
        <v>2782</v>
      </c>
      <c r="L5" s="18" t="s">
        <v>2782</v>
      </c>
      <c r="M5" s="18" t="s">
        <v>2782</v>
      </c>
      <c r="N5" s="18" t="s">
        <v>2782</v>
      </c>
      <c r="O5" s="18" t="s">
        <v>2782</v>
      </c>
      <c r="P5" s="18" t="s">
        <v>2782</v>
      </c>
      <c r="Q5" s="18" t="s">
        <v>2782</v>
      </c>
      <c r="R5" s="18" t="s">
        <v>2782</v>
      </c>
      <c r="S5" s="18" t="s">
        <v>2782</v>
      </c>
      <c r="T5" s="18">
        <v>3</v>
      </c>
      <c r="U5" s="18">
        <v>3</v>
      </c>
      <c r="V5" s="18">
        <v>3</v>
      </c>
      <c r="W5" s="18">
        <v>3</v>
      </c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</row>
    <row r="6" spans="1:79" x14ac:dyDescent="0.3">
      <c r="A6" s="8">
        <v>1</v>
      </c>
      <c r="B6" s="8" t="s">
        <v>949</v>
      </c>
      <c r="C6" s="8">
        <v>0</v>
      </c>
      <c r="D6" s="8">
        <v>3</v>
      </c>
      <c r="E6" s="8" t="s">
        <v>950</v>
      </c>
      <c r="F6" s="13"/>
      <c r="G6" s="13"/>
      <c r="H6" s="13"/>
      <c r="I6" s="13"/>
      <c r="J6" s="13"/>
      <c r="K6" s="13"/>
      <c r="L6" s="13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</row>
    <row r="7" spans="1:79" x14ac:dyDescent="0.3">
      <c r="A7" s="8">
        <v>1</v>
      </c>
      <c r="B7" s="8" t="s">
        <v>949</v>
      </c>
      <c r="C7" s="8">
        <v>0</v>
      </c>
      <c r="D7" s="8">
        <v>4</v>
      </c>
      <c r="E7" s="8" t="s">
        <v>950</v>
      </c>
      <c r="F7" s="12"/>
      <c r="G7" s="12"/>
      <c r="H7" s="12">
        <v>663</v>
      </c>
      <c r="I7" s="12">
        <v>663</v>
      </c>
      <c r="J7" s="12">
        <v>663</v>
      </c>
      <c r="K7" s="12">
        <v>663</v>
      </c>
      <c r="L7" s="12">
        <v>663</v>
      </c>
      <c r="M7" s="12">
        <v>663</v>
      </c>
      <c r="N7" s="12">
        <v>663</v>
      </c>
      <c r="O7" s="12">
        <v>663</v>
      </c>
      <c r="P7" s="12">
        <v>663</v>
      </c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</row>
    <row r="8" spans="1:79" x14ac:dyDescent="0.3">
      <c r="A8" s="8">
        <v>1</v>
      </c>
      <c r="B8" s="8" t="s">
        <v>949</v>
      </c>
      <c r="C8" s="8">
        <v>0</v>
      </c>
      <c r="D8" s="8">
        <v>5</v>
      </c>
      <c r="E8" s="8" t="s">
        <v>950</v>
      </c>
      <c r="F8" s="12"/>
      <c r="G8" s="12"/>
      <c r="H8" s="12"/>
      <c r="I8" s="12"/>
      <c r="J8" s="12"/>
      <c r="K8" s="12"/>
      <c r="L8" s="12" t="s">
        <v>2268</v>
      </c>
      <c r="M8" s="12" t="s">
        <v>2268</v>
      </c>
      <c r="N8" s="12" t="s">
        <v>2268</v>
      </c>
      <c r="O8" s="12">
        <v>663</v>
      </c>
      <c r="P8" s="12">
        <v>663</v>
      </c>
      <c r="Q8" s="12">
        <v>663</v>
      </c>
      <c r="R8" s="12"/>
      <c r="S8" s="12">
        <v>663</v>
      </c>
      <c r="T8" s="12">
        <v>663</v>
      </c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</row>
    <row r="9" spans="1:79" x14ac:dyDescent="0.3">
      <c r="A9" s="8">
        <v>1</v>
      </c>
      <c r="B9" s="8" t="s">
        <v>949</v>
      </c>
      <c r="C9" s="8">
        <v>0</v>
      </c>
      <c r="D9" s="8">
        <v>6</v>
      </c>
      <c r="E9" s="8" t="s">
        <v>950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</row>
    <row r="10" spans="1:79" x14ac:dyDescent="0.3">
      <c r="A10" s="8">
        <v>1</v>
      </c>
      <c r="B10" s="8" t="s">
        <v>949</v>
      </c>
      <c r="C10" s="8">
        <v>0</v>
      </c>
      <c r="D10" s="8">
        <v>7</v>
      </c>
      <c r="E10" s="8" t="s">
        <v>951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</row>
    <row r="11" spans="1:79" x14ac:dyDescent="0.3">
      <c r="A11" s="8">
        <v>1</v>
      </c>
      <c r="B11" s="8" t="s">
        <v>949</v>
      </c>
      <c r="C11" s="8">
        <v>0</v>
      </c>
      <c r="D11" s="8">
        <v>8</v>
      </c>
      <c r="E11" s="8" t="s">
        <v>950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</row>
    <row r="12" spans="1:79" x14ac:dyDescent="0.3">
      <c r="A12" s="8">
        <v>2</v>
      </c>
      <c r="B12" s="8" t="s">
        <v>949</v>
      </c>
      <c r="C12" s="8">
        <v>0</v>
      </c>
      <c r="D12" s="8">
        <v>9</v>
      </c>
      <c r="E12" s="8" t="s">
        <v>950</v>
      </c>
      <c r="F12" s="18">
        <v>4</v>
      </c>
      <c r="G12" s="18">
        <v>4</v>
      </c>
      <c r="H12" s="18">
        <v>4</v>
      </c>
      <c r="I12" s="18">
        <v>4</v>
      </c>
      <c r="J12" s="18">
        <v>4</v>
      </c>
      <c r="K12" s="18" t="s">
        <v>2792</v>
      </c>
      <c r="L12" s="18" t="s">
        <v>2792</v>
      </c>
      <c r="M12" s="18">
        <v>15</v>
      </c>
      <c r="N12" s="18">
        <v>15</v>
      </c>
      <c r="O12" s="18">
        <v>15</v>
      </c>
      <c r="P12" s="18">
        <v>15</v>
      </c>
      <c r="Q12" s="18">
        <v>15</v>
      </c>
      <c r="R12" s="18">
        <v>15</v>
      </c>
      <c r="S12" s="18">
        <v>15</v>
      </c>
      <c r="T12" s="18">
        <v>15</v>
      </c>
      <c r="U12" s="18">
        <v>15</v>
      </c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</row>
    <row r="13" spans="1:79" x14ac:dyDescent="0.3">
      <c r="A13" s="8">
        <v>2</v>
      </c>
      <c r="B13" s="8" t="s">
        <v>949</v>
      </c>
      <c r="C13" s="8">
        <v>0</v>
      </c>
      <c r="D13" s="8">
        <v>10</v>
      </c>
      <c r="E13" s="8" t="s">
        <v>951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</row>
    <row r="14" spans="1:79" x14ac:dyDescent="0.3">
      <c r="A14" s="8">
        <v>2</v>
      </c>
      <c r="B14" s="8" t="s">
        <v>949</v>
      </c>
      <c r="C14" s="8">
        <v>5</v>
      </c>
      <c r="D14" s="8">
        <v>33</v>
      </c>
      <c r="E14" s="8" t="s">
        <v>950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</row>
    <row r="15" spans="1:79" x14ac:dyDescent="0.3">
      <c r="A15" s="8">
        <v>2</v>
      </c>
      <c r="B15" s="8" t="s">
        <v>949</v>
      </c>
      <c r="C15" s="8">
        <v>5</v>
      </c>
      <c r="D15" s="8">
        <v>34</v>
      </c>
      <c r="E15" s="8" t="s">
        <v>950</v>
      </c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</row>
    <row r="16" spans="1:79" x14ac:dyDescent="0.3">
      <c r="A16" s="8">
        <v>2</v>
      </c>
      <c r="B16" s="8" t="s">
        <v>949</v>
      </c>
      <c r="C16" s="8">
        <v>5</v>
      </c>
      <c r="D16" s="8">
        <v>35</v>
      </c>
      <c r="E16" s="8" t="s">
        <v>951</v>
      </c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</row>
    <row r="17" spans="1:79" x14ac:dyDescent="0.3">
      <c r="A17" s="8">
        <v>2</v>
      </c>
      <c r="B17" s="8" t="s">
        <v>949</v>
      </c>
      <c r="C17" s="8">
        <v>5</v>
      </c>
      <c r="D17" s="8">
        <v>36</v>
      </c>
      <c r="E17" s="8" t="s">
        <v>950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</row>
    <row r="18" spans="1:79" x14ac:dyDescent="0.3">
      <c r="A18" s="8">
        <v>2</v>
      </c>
      <c r="B18" s="8" t="s">
        <v>949</v>
      </c>
      <c r="C18" s="8">
        <v>5</v>
      </c>
      <c r="D18" s="8">
        <v>37</v>
      </c>
      <c r="E18" s="8" t="s">
        <v>950</v>
      </c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</row>
    <row r="19" spans="1:79" x14ac:dyDescent="0.3">
      <c r="A19" s="8">
        <v>2</v>
      </c>
      <c r="B19" s="8" t="s">
        <v>949</v>
      </c>
      <c r="C19" s="8">
        <v>5</v>
      </c>
      <c r="D19" s="8">
        <v>38</v>
      </c>
      <c r="E19" s="8" t="s">
        <v>950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</row>
    <row r="20" spans="1:79" x14ac:dyDescent="0.3">
      <c r="A20" s="8">
        <v>2</v>
      </c>
      <c r="B20" s="8" t="s">
        <v>949</v>
      </c>
      <c r="C20" s="8">
        <v>5</v>
      </c>
      <c r="D20" s="8">
        <v>39</v>
      </c>
      <c r="E20" s="8" t="s">
        <v>950</v>
      </c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</row>
    <row r="21" spans="1:79" x14ac:dyDescent="0.3">
      <c r="A21" s="8">
        <v>2</v>
      </c>
      <c r="B21" s="8" t="s">
        <v>949</v>
      </c>
      <c r="C21" s="8">
        <v>5</v>
      </c>
      <c r="D21" s="8">
        <v>40</v>
      </c>
      <c r="E21" s="8" t="s">
        <v>950</v>
      </c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</row>
    <row r="22" spans="1:79" x14ac:dyDescent="0.3">
      <c r="A22" s="8">
        <v>3</v>
      </c>
      <c r="B22" s="8" t="s">
        <v>949</v>
      </c>
      <c r="C22" s="8">
        <v>5</v>
      </c>
      <c r="D22" s="8">
        <v>41</v>
      </c>
      <c r="E22" s="8" t="s">
        <v>951</v>
      </c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</row>
    <row r="23" spans="1:79" x14ac:dyDescent="0.3">
      <c r="A23" s="8">
        <v>3</v>
      </c>
      <c r="B23" s="8" t="s">
        <v>949</v>
      </c>
      <c r="C23" s="8">
        <v>5</v>
      </c>
      <c r="D23" s="8">
        <v>42</v>
      </c>
      <c r="E23" s="8" t="s">
        <v>951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</row>
    <row r="24" spans="1:79" x14ac:dyDescent="0.3">
      <c r="A24" s="8">
        <v>3</v>
      </c>
      <c r="B24" s="8" t="s">
        <v>949</v>
      </c>
      <c r="C24" s="8">
        <v>6</v>
      </c>
      <c r="D24" s="8">
        <v>54</v>
      </c>
      <c r="E24" s="8" t="s">
        <v>950</v>
      </c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</row>
    <row r="25" spans="1:79" x14ac:dyDescent="0.3">
      <c r="A25" s="8">
        <v>3</v>
      </c>
      <c r="B25" s="8" t="s">
        <v>949</v>
      </c>
      <c r="C25" s="8">
        <v>6</v>
      </c>
      <c r="D25" s="8">
        <v>55</v>
      </c>
      <c r="E25" s="8" t="s">
        <v>950</v>
      </c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</row>
    <row r="26" spans="1:79" x14ac:dyDescent="0.3">
      <c r="A26" s="8">
        <v>3</v>
      </c>
      <c r="B26" s="8" t="s">
        <v>949</v>
      </c>
      <c r="C26" s="8">
        <v>6</v>
      </c>
      <c r="D26" s="8">
        <v>56</v>
      </c>
      <c r="E26" s="8" t="s">
        <v>951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2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</row>
    <row r="27" spans="1:79" x14ac:dyDescent="0.3">
      <c r="A27" s="8">
        <v>3</v>
      </c>
      <c r="B27" s="8" t="s">
        <v>949</v>
      </c>
      <c r="C27" s="8">
        <v>6</v>
      </c>
      <c r="D27" s="8">
        <v>57</v>
      </c>
      <c r="E27" s="8" t="s">
        <v>950</v>
      </c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</row>
    <row r="28" spans="1:79" x14ac:dyDescent="0.3">
      <c r="A28" s="8">
        <v>3</v>
      </c>
      <c r="B28" s="8" t="s">
        <v>949</v>
      </c>
      <c r="C28" s="8">
        <v>6</v>
      </c>
      <c r="D28" s="8">
        <v>58</v>
      </c>
      <c r="E28" s="8" t="s">
        <v>951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</row>
    <row r="29" spans="1:79" x14ac:dyDescent="0.3">
      <c r="A29" s="8">
        <v>3</v>
      </c>
      <c r="B29" s="8" t="s">
        <v>949</v>
      </c>
      <c r="C29" s="8">
        <v>6</v>
      </c>
      <c r="D29" s="8">
        <v>59</v>
      </c>
      <c r="E29" s="8" t="s">
        <v>951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</row>
    <row r="30" spans="1:79" x14ac:dyDescent="0.3">
      <c r="A30" s="8">
        <v>3</v>
      </c>
      <c r="B30" s="8" t="s">
        <v>949</v>
      </c>
      <c r="C30" s="8">
        <v>6</v>
      </c>
      <c r="D30" s="8">
        <v>60</v>
      </c>
      <c r="E30" s="8" t="s">
        <v>950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</row>
    <row r="31" spans="1:79" x14ac:dyDescent="0.3">
      <c r="A31" s="8">
        <v>3</v>
      </c>
      <c r="B31" s="8" t="s">
        <v>949</v>
      </c>
      <c r="C31" s="8">
        <v>6</v>
      </c>
      <c r="D31" s="8">
        <v>61</v>
      </c>
      <c r="E31" s="8" t="s">
        <v>950</v>
      </c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</row>
    <row r="32" spans="1:79" x14ac:dyDescent="0.3">
      <c r="A32" s="8">
        <v>1</v>
      </c>
      <c r="B32" s="8" t="s">
        <v>949</v>
      </c>
      <c r="C32" s="8">
        <v>6</v>
      </c>
      <c r="D32" s="8">
        <v>62</v>
      </c>
      <c r="E32" s="8" t="s">
        <v>950</v>
      </c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2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</row>
    <row r="33" spans="1:79" x14ac:dyDescent="0.3">
      <c r="A33" s="8">
        <v>1</v>
      </c>
      <c r="B33" s="8" t="s">
        <v>949</v>
      </c>
      <c r="C33" s="8">
        <v>6</v>
      </c>
      <c r="D33" s="8">
        <v>63</v>
      </c>
      <c r="E33" s="8" t="s">
        <v>950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2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</row>
    <row r="34" spans="1:79" x14ac:dyDescent="0.3">
      <c r="A34" s="8">
        <v>1</v>
      </c>
      <c r="B34" s="8" t="s">
        <v>952</v>
      </c>
      <c r="C34" s="8">
        <v>4</v>
      </c>
      <c r="D34" s="8">
        <v>75</v>
      </c>
      <c r="E34" s="8" t="s">
        <v>950</v>
      </c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</row>
    <row r="35" spans="1:79" x14ac:dyDescent="0.3">
      <c r="A35" s="8">
        <v>1</v>
      </c>
      <c r="B35" s="8" t="s">
        <v>952</v>
      </c>
      <c r="C35" s="8">
        <v>4</v>
      </c>
      <c r="D35" s="8">
        <v>76</v>
      </c>
      <c r="E35" s="8" t="s">
        <v>951</v>
      </c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2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</row>
    <row r="36" spans="1:79" x14ac:dyDescent="0.3">
      <c r="A36" s="8">
        <v>1</v>
      </c>
      <c r="B36" s="8" t="s">
        <v>952</v>
      </c>
      <c r="C36" s="8">
        <v>4</v>
      </c>
      <c r="D36" s="8">
        <v>77</v>
      </c>
      <c r="E36" s="8" t="s">
        <v>950</v>
      </c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2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</row>
    <row r="37" spans="1:79" x14ac:dyDescent="0.3">
      <c r="A37" s="8">
        <v>1</v>
      </c>
      <c r="B37" s="8" t="s">
        <v>952</v>
      </c>
      <c r="C37" s="8">
        <v>4</v>
      </c>
      <c r="D37" s="8">
        <v>78</v>
      </c>
      <c r="E37" s="8" t="s">
        <v>951</v>
      </c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2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</row>
    <row r="38" spans="1:79" x14ac:dyDescent="0.3">
      <c r="A38" s="8">
        <v>1</v>
      </c>
      <c r="B38" s="8" t="s">
        <v>952</v>
      </c>
      <c r="C38" s="8">
        <v>4</v>
      </c>
      <c r="D38" s="8">
        <v>79</v>
      </c>
      <c r="E38" s="8" t="s">
        <v>950</v>
      </c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2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</row>
    <row r="39" spans="1:79" x14ac:dyDescent="0.3">
      <c r="A39" s="8">
        <v>1</v>
      </c>
      <c r="B39" s="8" t="s">
        <v>952</v>
      </c>
      <c r="C39" s="8">
        <v>4</v>
      </c>
      <c r="D39" s="8">
        <v>80</v>
      </c>
      <c r="E39" s="8" t="s">
        <v>950</v>
      </c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2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</row>
    <row r="40" spans="1:79" x14ac:dyDescent="0.3">
      <c r="A40" s="8">
        <v>1</v>
      </c>
      <c r="B40" s="8" t="s">
        <v>952</v>
      </c>
      <c r="C40" s="8">
        <v>4</v>
      </c>
      <c r="D40" s="8">
        <v>81</v>
      </c>
      <c r="E40" s="8" t="s">
        <v>951</v>
      </c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2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</row>
    <row r="41" spans="1:79" x14ac:dyDescent="0.3">
      <c r="A41" s="8">
        <v>1</v>
      </c>
      <c r="B41" s="8" t="s">
        <v>952</v>
      </c>
      <c r="C41" s="8">
        <v>4</v>
      </c>
      <c r="D41" s="8">
        <v>82</v>
      </c>
      <c r="E41" s="8" t="s">
        <v>950</v>
      </c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</row>
    <row r="42" spans="1:79" x14ac:dyDescent="0.3">
      <c r="A42" s="8">
        <v>2</v>
      </c>
      <c r="B42" s="8" t="s">
        <v>952</v>
      </c>
      <c r="C42" s="8">
        <v>4</v>
      </c>
      <c r="D42" s="8">
        <v>83</v>
      </c>
      <c r="E42" s="8" t="s">
        <v>951</v>
      </c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2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</row>
    <row r="43" spans="1:79" x14ac:dyDescent="0.3">
      <c r="A43" s="8">
        <v>2</v>
      </c>
      <c r="B43" s="8" t="s">
        <v>952</v>
      </c>
      <c r="C43" s="8">
        <v>4</v>
      </c>
      <c r="D43" s="8">
        <v>84</v>
      </c>
      <c r="E43" s="8" t="s">
        <v>950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2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</row>
    <row r="44" spans="1:79" x14ac:dyDescent="0.3">
      <c r="A44" s="8">
        <v>2</v>
      </c>
      <c r="B44" s="8" t="s">
        <v>952</v>
      </c>
      <c r="C44" s="8">
        <v>3</v>
      </c>
      <c r="D44" s="8">
        <v>85</v>
      </c>
      <c r="E44" s="8" t="s">
        <v>950</v>
      </c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2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</row>
    <row r="45" spans="1:79" x14ac:dyDescent="0.3">
      <c r="A45" s="8">
        <v>2</v>
      </c>
      <c r="B45" s="8" t="s">
        <v>952</v>
      </c>
      <c r="C45" s="8">
        <v>3</v>
      </c>
      <c r="D45" s="8">
        <v>86</v>
      </c>
      <c r="E45" s="8" t="s">
        <v>951</v>
      </c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</row>
    <row r="46" spans="1:79" x14ac:dyDescent="0.3">
      <c r="A46" s="8">
        <v>2</v>
      </c>
      <c r="B46" s="8" t="s">
        <v>952</v>
      </c>
      <c r="C46" s="8">
        <v>3</v>
      </c>
      <c r="D46" s="8">
        <v>87</v>
      </c>
      <c r="E46" s="8" t="s">
        <v>951</v>
      </c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2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</row>
    <row r="47" spans="1:79" x14ac:dyDescent="0.3">
      <c r="A47" s="8">
        <v>2</v>
      </c>
      <c r="B47" s="8" t="s">
        <v>952</v>
      </c>
      <c r="C47" s="8">
        <v>3</v>
      </c>
      <c r="D47" s="8">
        <v>88</v>
      </c>
      <c r="E47" s="8" t="s">
        <v>950</v>
      </c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2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</row>
    <row r="48" spans="1:79" x14ac:dyDescent="0.3">
      <c r="A48" s="8">
        <v>2</v>
      </c>
      <c r="B48" s="8" t="s">
        <v>952</v>
      </c>
      <c r="C48" s="8">
        <v>3</v>
      </c>
      <c r="D48" s="8">
        <v>89</v>
      </c>
      <c r="E48" s="8" t="s">
        <v>951</v>
      </c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2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</row>
    <row r="49" spans="1:79" x14ac:dyDescent="0.3">
      <c r="A49" s="8">
        <v>2</v>
      </c>
      <c r="B49" s="8" t="s">
        <v>952</v>
      </c>
      <c r="C49" s="8">
        <v>3</v>
      </c>
      <c r="D49" s="8">
        <v>90</v>
      </c>
      <c r="E49" s="8" t="s">
        <v>951</v>
      </c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2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</row>
    <row r="50" spans="1:79" x14ac:dyDescent="0.3">
      <c r="A50" s="8">
        <v>2</v>
      </c>
      <c r="B50" s="8" t="s">
        <v>952</v>
      </c>
      <c r="C50" s="8">
        <v>3</v>
      </c>
      <c r="D50" s="8">
        <v>91</v>
      </c>
      <c r="E50" s="8" t="s">
        <v>951</v>
      </c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</row>
    <row r="51" spans="1:79" x14ac:dyDescent="0.3">
      <c r="A51" s="8">
        <v>2</v>
      </c>
      <c r="B51" s="8" t="s">
        <v>952</v>
      </c>
      <c r="C51" s="8">
        <v>3</v>
      </c>
      <c r="D51" s="8">
        <v>92</v>
      </c>
      <c r="E51" s="8" t="s">
        <v>950</v>
      </c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2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</row>
    <row r="52" spans="1:79" x14ac:dyDescent="0.3">
      <c r="A52" s="8">
        <v>2</v>
      </c>
      <c r="B52" s="8" t="s">
        <v>952</v>
      </c>
      <c r="C52" s="8">
        <v>3</v>
      </c>
      <c r="D52" s="8">
        <v>93</v>
      </c>
      <c r="E52" s="8" t="s">
        <v>950</v>
      </c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2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</row>
    <row r="53" spans="1:79" x14ac:dyDescent="0.3">
      <c r="A53" s="8">
        <v>2</v>
      </c>
      <c r="B53" s="8" t="s">
        <v>952</v>
      </c>
      <c r="C53" s="8">
        <v>3</v>
      </c>
      <c r="D53" s="8">
        <v>94</v>
      </c>
      <c r="E53" s="8" t="s">
        <v>951</v>
      </c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</row>
    <row r="54" spans="1:79" x14ac:dyDescent="0.3">
      <c r="A54" s="8">
        <v>2</v>
      </c>
      <c r="B54" s="8" t="s">
        <v>952</v>
      </c>
      <c r="C54" s="8">
        <v>3</v>
      </c>
      <c r="D54" s="8">
        <v>95</v>
      </c>
      <c r="E54" s="8" t="s">
        <v>950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2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</row>
    <row r="55" spans="1:79" x14ac:dyDescent="0.3">
      <c r="A55" s="8">
        <v>2</v>
      </c>
      <c r="B55" s="8" t="s">
        <v>952</v>
      </c>
      <c r="C55" s="8">
        <v>3</v>
      </c>
      <c r="D55" s="8">
        <v>96</v>
      </c>
      <c r="E55" s="8" t="s">
        <v>951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2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</row>
    <row r="56" spans="1:79" x14ac:dyDescent="0.3">
      <c r="A56" s="8">
        <v>2</v>
      </c>
      <c r="B56" s="8" t="s">
        <v>952</v>
      </c>
      <c r="C56" s="8">
        <v>3</v>
      </c>
      <c r="D56" s="8">
        <v>97</v>
      </c>
      <c r="E56" s="8" t="s">
        <v>951</v>
      </c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2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</row>
    <row r="57" spans="1:79" x14ac:dyDescent="0.3">
      <c r="A57" s="8">
        <v>2</v>
      </c>
      <c r="B57" s="8" t="s">
        <v>952</v>
      </c>
      <c r="C57" s="8">
        <v>3</v>
      </c>
      <c r="D57" s="8">
        <v>98</v>
      </c>
      <c r="E57" s="8" t="s">
        <v>951</v>
      </c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2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</row>
    <row r="58" spans="1:79" x14ac:dyDescent="0.3">
      <c r="A58" s="8">
        <v>2</v>
      </c>
      <c r="B58" s="8" t="s">
        <v>952</v>
      </c>
      <c r="C58" s="8">
        <v>3</v>
      </c>
      <c r="D58" s="8">
        <v>99</v>
      </c>
      <c r="E58" s="8" t="s">
        <v>951</v>
      </c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2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</row>
    <row r="59" spans="1:79" x14ac:dyDescent="0.3">
      <c r="A59" s="8">
        <v>2</v>
      </c>
      <c r="B59" s="8" t="s">
        <v>952</v>
      </c>
      <c r="C59" s="8">
        <v>3</v>
      </c>
      <c r="D59" s="8">
        <v>100</v>
      </c>
      <c r="E59" s="8" t="s">
        <v>950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  <c r="BA59" s="12"/>
      <c r="BB59" s="12"/>
      <c r="BC59" s="12"/>
      <c r="BD59" s="12"/>
      <c r="BE59" s="12"/>
      <c r="BF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</row>
    <row r="60" spans="1:79" x14ac:dyDescent="0.3">
      <c r="A60" s="8">
        <v>2</v>
      </c>
      <c r="B60" s="8" t="s">
        <v>952</v>
      </c>
      <c r="C60" s="8">
        <v>3</v>
      </c>
      <c r="D60" s="8">
        <v>101</v>
      </c>
      <c r="E60" s="8" t="s">
        <v>951</v>
      </c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  <c r="BA60" s="12"/>
      <c r="BB60" s="12"/>
      <c r="BC60" s="12"/>
      <c r="BD60" s="12"/>
      <c r="BE60" s="12"/>
      <c r="BF60" s="12"/>
      <c r="BG60" s="12"/>
      <c r="BH60" s="12"/>
      <c r="BI60" s="12"/>
      <c r="BJ60" s="12"/>
      <c r="BK60" s="12"/>
      <c r="BL60" s="12"/>
      <c r="BM60" s="12"/>
      <c r="BN60" s="12"/>
      <c r="BO60" s="12"/>
      <c r="BP60" s="12"/>
      <c r="BQ60" s="12"/>
      <c r="BR60" s="12"/>
      <c r="BS60" s="12"/>
      <c r="BT60" s="12"/>
      <c r="BU60" s="12"/>
      <c r="BV60" s="12"/>
      <c r="BW60" s="12"/>
      <c r="BX60" s="12"/>
      <c r="BY60" s="12"/>
      <c r="BZ60" s="12"/>
      <c r="CA60" s="12"/>
    </row>
    <row r="61" spans="1:79" x14ac:dyDescent="0.3">
      <c r="A61" s="8">
        <v>2</v>
      </c>
      <c r="B61" s="8" t="s">
        <v>952</v>
      </c>
      <c r="C61" s="8">
        <v>3</v>
      </c>
      <c r="D61" s="8">
        <v>102</v>
      </c>
      <c r="E61" s="8" t="s">
        <v>950</v>
      </c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  <c r="BA61" s="12"/>
      <c r="BB61" s="12"/>
      <c r="BC61" s="12"/>
      <c r="BD61" s="12"/>
      <c r="BE61" s="12"/>
      <c r="BF61" s="12"/>
      <c r="BG61" s="12"/>
      <c r="BH61" s="12"/>
      <c r="BI61" s="12"/>
      <c r="BJ61" s="12"/>
      <c r="BK61" s="12"/>
      <c r="BL61" s="12"/>
      <c r="BM61" s="12"/>
      <c r="BN61" s="12"/>
      <c r="BO61" s="12"/>
      <c r="BP61" s="12"/>
      <c r="BQ61" s="12"/>
      <c r="BR61" s="12"/>
      <c r="BS61" s="12"/>
      <c r="BT61" s="12"/>
      <c r="BU61" s="12"/>
      <c r="BV61" s="12"/>
      <c r="BW61" s="12"/>
      <c r="BX61" s="12"/>
      <c r="BY61" s="12"/>
      <c r="BZ61" s="12"/>
      <c r="CA61" s="12"/>
    </row>
    <row r="62" spans="1:79" x14ac:dyDescent="0.3">
      <c r="A62" s="8">
        <v>2</v>
      </c>
      <c r="B62" s="8" t="s">
        <v>952</v>
      </c>
      <c r="C62" s="8">
        <v>3</v>
      </c>
      <c r="D62" s="8">
        <v>103</v>
      </c>
      <c r="E62" s="8" t="s">
        <v>951</v>
      </c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  <c r="BA62" s="12"/>
      <c r="BB62" s="12"/>
      <c r="BC62" s="12"/>
      <c r="BD62" s="12"/>
      <c r="BE62" s="12"/>
      <c r="BF62" s="12"/>
      <c r="BG62" s="12"/>
      <c r="BH62" s="12"/>
      <c r="BI62" s="12"/>
      <c r="BJ62" s="12"/>
      <c r="BK62" s="12"/>
      <c r="BL62" s="12"/>
      <c r="BM62" s="12"/>
      <c r="BN62" s="12"/>
      <c r="BO62" s="12"/>
      <c r="BP62" s="12"/>
      <c r="BQ62" s="12"/>
      <c r="BR62" s="12"/>
      <c r="BS62" s="12"/>
      <c r="BT62" s="12"/>
      <c r="BU62" s="12"/>
      <c r="BV62" s="12"/>
      <c r="BW62" s="12"/>
      <c r="BX62" s="12"/>
      <c r="BY62" s="12"/>
      <c r="BZ62" s="12"/>
      <c r="CA62" s="12"/>
    </row>
    <row r="63" spans="1:79" x14ac:dyDescent="0.3">
      <c r="A63" s="8">
        <v>3</v>
      </c>
      <c r="B63" s="8" t="s">
        <v>952</v>
      </c>
      <c r="C63" s="8">
        <v>3</v>
      </c>
      <c r="D63" s="8">
        <v>104</v>
      </c>
      <c r="E63" s="8" t="s">
        <v>950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  <c r="BA63" s="12"/>
      <c r="BB63" s="12"/>
      <c r="BC63" s="12"/>
      <c r="BD63" s="12"/>
      <c r="BE63" s="12"/>
      <c r="BF63" s="12"/>
      <c r="BG63" s="12"/>
      <c r="BH63" s="12"/>
      <c r="BI63" s="12"/>
      <c r="BJ63" s="12"/>
      <c r="BK63" s="12"/>
      <c r="BL63" s="12"/>
      <c r="BM63" s="12"/>
      <c r="BN63" s="12"/>
      <c r="BO63" s="12"/>
      <c r="BP63" s="12"/>
      <c r="BQ63" s="12"/>
      <c r="BR63" s="12"/>
      <c r="BS63" s="12"/>
      <c r="BT63" s="12"/>
      <c r="BU63" s="12"/>
      <c r="BV63" s="12"/>
      <c r="BW63" s="12"/>
      <c r="BX63" s="12"/>
      <c r="BY63" s="12"/>
      <c r="BZ63" s="12"/>
      <c r="CA63" s="12"/>
    </row>
    <row r="64" spans="1:79" x14ac:dyDescent="0.3">
      <c r="A64" s="8">
        <v>3</v>
      </c>
      <c r="B64" s="8" t="s">
        <v>952</v>
      </c>
      <c r="C64" s="8">
        <v>3</v>
      </c>
      <c r="D64" s="8">
        <v>105</v>
      </c>
      <c r="E64" s="8" t="s">
        <v>951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  <c r="BA64" s="12"/>
      <c r="BB64" s="12"/>
      <c r="BC64" s="12"/>
      <c r="BD64" s="12"/>
      <c r="BE64" s="12"/>
      <c r="BF64" s="12"/>
      <c r="BG64" s="12"/>
      <c r="BH64" s="12"/>
      <c r="BI64" s="12"/>
      <c r="BJ64" s="12"/>
      <c r="BK64" s="12"/>
      <c r="BL64" s="12"/>
      <c r="BM64" s="12"/>
      <c r="BN64" s="12"/>
      <c r="BO64" s="12"/>
      <c r="BP64" s="12"/>
      <c r="BQ64" s="12"/>
      <c r="BR64" s="12"/>
      <c r="BS64" s="12"/>
      <c r="BT64" s="12"/>
      <c r="BU64" s="12"/>
      <c r="BV64" s="12"/>
      <c r="BW64" s="12"/>
      <c r="BX64" s="12"/>
      <c r="BY64" s="12"/>
      <c r="BZ64" s="12"/>
      <c r="CA64" s="12"/>
    </row>
    <row r="65" spans="1:79" x14ac:dyDescent="0.3">
      <c r="A65" s="8">
        <v>3</v>
      </c>
      <c r="B65" s="8" t="s">
        <v>952</v>
      </c>
      <c r="C65" s="8">
        <v>3</v>
      </c>
      <c r="D65" s="8">
        <v>106</v>
      </c>
      <c r="E65" s="8" t="s">
        <v>950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  <c r="BA65" s="12"/>
      <c r="BB65" s="12"/>
      <c r="BC65" s="12"/>
      <c r="BD65" s="12"/>
      <c r="BE65" s="12"/>
      <c r="BF65" s="12"/>
      <c r="BG65" s="12"/>
      <c r="BH65" s="12"/>
      <c r="BI65" s="12"/>
      <c r="BJ65" s="12"/>
      <c r="BK65" s="12"/>
      <c r="BL65" s="12"/>
      <c r="BM65" s="12"/>
      <c r="BN65" s="12"/>
      <c r="BO65" s="12"/>
      <c r="BP65" s="12"/>
      <c r="BQ65" s="12"/>
      <c r="BR65" s="12"/>
      <c r="BS65" s="12"/>
      <c r="BT65" s="12"/>
      <c r="BU65" s="12"/>
      <c r="BV65" s="12"/>
      <c r="BW65" s="12"/>
      <c r="BX65" s="12"/>
      <c r="BY65" s="12"/>
      <c r="BZ65" s="12"/>
      <c r="CA65" s="12"/>
    </row>
    <row r="66" spans="1:79" x14ac:dyDescent="0.3">
      <c r="A66" s="8">
        <v>3</v>
      </c>
      <c r="B66" s="8" t="s">
        <v>952</v>
      </c>
      <c r="C66" s="8">
        <v>3</v>
      </c>
      <c r="D66" s="8">
        <v>107</v>
      </c>
      <c r="E66" s="8" t="s">
        <v>950</v>
      </c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12"/>
      <c r="AW66" s="12"/>
      <c r="AX66" s="12"/>
      <c r="AY66" s="12"/>
      <c r="AZ66" s="12"/>
      <c r="BA66" s="12"/>
      <c r="BB66" s="12"/>
      <c r="BC66" s="12"/>
      <c r="BD66" s="12"/>
      <c r="BE66" s="12"/>
      <c r="BF66" s="12"/>
      <c r="BG66" s="12"/>
      <c r="BH66" s="12"/>
      <c r="BI66" s="12"/>
      <c r="BJ66" s="12"/>
      <c r="BK66" s="12"/>
      <c r="BL66" s="12"/>
      <c r="BM66" s="12"/>
      <c r="BN66" s="12"/>
      <c r="BO66" s="12"/>
      <c r="BP66" s="12"/>
      <c r="BQ66" s="12"/>
      <c r="BR66" s="12"/>
      <c r="BS66" s="12"/>
      <c r="BT66" s="12"/>
      <c r="BU66" s="12"/>
      <c r="BV66" s="12"/>
      <c r="BW66" s="12"/>
      <c r="BX66" s="12"/>
      <c r="BY66" s="12"/>
      <c r="BZ66" s="12"/>
      <c r="CA66" s="12"/>
    </row>
    <row r="67" spans="1:79" x14ac:dyDescent="0.3">
      <c r="A67" s="8">
        <v>3</v>
      </c>
      <c r="B67" s="8" t="s">
        <v>952</v>
      </c>
      <c r="C67" s="8">
        <v>3</v>
      </c>
      <c r="D67" s="8">
        <v>108</v>
      </c>
      <c r="E67" s="8" t="s">
        <v>950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D67" s="12"/>
      <c r="BE67" s="12"/>
      <c r="BF67" s="12"/>
      <c r="BG67" s="12"/>
      <c r="BH67" s="12"/>
      <c r="BI67" s="12"/>
      <c r="BJ67" s="12"/>
      <c r="BK67" s="12"/>
      <c r="BL67" s="12"/>
      <c r="BM67" s="12"/>
      <c r="BN67" s="12"/>
      <c r="BO67" s="12"/>
      <c r="BP67" s="12"/>
      <c r="BQ67" s="12"/>
      <c r="BR67" s="12"/>
      <c r="BS67" s="12"/>
      <c r="BT67" s="12"/>
      <c r="BU67" s="12"/>
      <c r="BV67" s="12"/>
      <c r="BW67" s="12"/>
      <c r="BX67" s="12"/>
      <c r="BY67" s="12"/>
      <c r="BZ67" s="12"/>
      <c r="CA67" s="12"/>
    </row>
    <row r="68" spans="1:79" x14ac:dyDescent="0.3">
      <c r="A68" s="8">
        <v>3</v>
      </c>
      <c r="B68" s="8" t="s">
        <v>952</v>
      </c>
      <c r="C68" s="8">
        <v>3</v>
      </c>
      <c r="D68" s="8">
        <v>109</v>
      </c>
      <c r="E68" s="8" t="s">
        <v>950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  <c r="BH68" s="12"/>
      <c r="BI68" s="12"/>
      <c r="BJ68" s="12"/>
      <c r="BK68" s="12"/>
      <c r="BL68" s="12"/>
      <c r="BM68" s="12"/>
      <c r="BN68" s="12"/>
      <c r="BO68" s="12"/>
      <c r="BP68" s="12"/>
      <c r="BQ68" s="12"/>
      <c r="BR68" s="12"/>
      <c r="BS68" s="12"/>
      <c r="BT68" s="12"/>
      <c r="BU68" s="12"/>
      <c r="BV68" s="12"/>
      <c r="BW68" s="12"/>
      <c r="BX68" s="12"/>
      <c r="BY68" s="12"/>
      <c r="BZ68" s="12"/>
      <c r="CA68" s="12"/>
    </row>
    <row r="69" spans="1:79" x14ac:dyDescent="0.3">
      <c r="A69" s="8">
        <v>3</v>
      </c>
      <c r="B69" s="8" t="s">
        <v>952</v>
      </c>
      <c r="C69" s="8">
        <v>3</v>
      </c>
      <c r="D69" s="8">
        <v>110</v>
      </c>
      <c r="E69" s="8" t="s">
        <v>951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  <c r="BH69" s="12"/>
      <c r="BI69" s="12"/>
      <c r="BJ69" s="12"/>
      <c r="BK69" s="12"/>
      <c r="BL69" s="12"/>
      <c r="BM69" s="12"/>
      <c r="BN69" s="12"/>
      <c r="BO69" s="12"/>
      <c r="BP69" s="12"/>
      <c r="BQ69" s="12"/>
      <c r="BR69" s="12"/>
      <c r="BS69" s="12"/>
      <c r="BT69" s="12"/>
      <c r="BU69" s="12"/>
      <c r="BV69" s="12"/>
      <c r="BW69" s="12"/>
      <c r="BX69" s="12"/>
      <c r="BY69" s="12"/>
      <c r="BZ69" s="12"/>
      <c r="CA69" s="12"/>
    </row>
    <row r="70" spans="1:79" x14ac:dyDescent="0.3">
      <c r="A70" s="8">
        <v>3</v>
      </c>
      <c r="B70" s="8" t="s">
        <v>952</v>
      </c>
      <c r="C70" s="8">
        <v>3</v>
      </c>
      <c r="D70" s="8">
        <v>111</v>
      </c>
      <c r="E70" s="8" t="s">
        <v>950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2"/>
      <c r="BI70" s="12"/>
      <c r="BJ70" s="12"/>
      <c r="BK70" s="12"/>
      <c r="BL70" s="12"/>
      <c r="BM70" s="12"/>
      <c r="BN70" s="12"/>
      <c r="BO70" s="12"/>
      <c r="BP70" s="12"/>
      <c r="BQ70" s="12"/>
      <c r="BR70" s="12"/>
      <c r="BS70" s="12"/>
      <c r="BT70" s="12"/>
      <c r="BU70" s="12"/>
      <c r="BV70" s="12"/>
      <c r="BW70" s="12"/>
      <c r="BX70" s="12"/>
      <c r="BY70" s="12"/>
      <c r="BZ70" s="12"/>
      <c r="CA70" s="12"/>
    </row>
    <row r="71" spans="1:79" x14ac:dyDescent="0.3">
      <c r="A71" s="8">
        <v>3</v>
      </c>
      <c r="B71" s="8" t="s">
        <v>952</v>
      </c>
      <c r="C71" s="8">
        <v>3</v>
      </c>
      <c r="D71" s="8">
        <v>112</v>
      </c>
      <c r="E71" s="8" t="s">
        <v>950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2"/>
      <c r="BI71" s="12"/>
      <c r="BJ71" s="12"/>
      <c r="BK71" s="12"/>
      <c r="BL71" s="12"/>
      <c r="BM71" s="12"/>
      <c r="BN71" s="12"/>
      <c r="BO71" s="12"/>
      <c r="BP71" s="12"/>
      <c r="BQ71" s="12"/>
      <c r="BR71" s="12"/>
      <c r="BS71" s="12"/>
      <c r="BT71" s="12"/>
      <c r="BU71" s="12"/>
      <c r="BV71" s="12"/>
      <c r="BW71" s="12"/>
      <c r="BX71" s="12"/>
      <c r="BY71" s="12"/>
      <c r="BZ71" s="12"/>
      <c r="CA71" s="12"/>
    </row>
    <row r="72" spans="1:79" x14ac:dyDescent="0.3">
      <c r="A72" s="8">
        <v>3</v>
      </c>
      <c r="B72" s="8" t="s">
        <v>952</v>
      </c>
      <c r="C72" s="8">
        <v>3</v>
      </c>
      <c r="D72" s="8">
        <v>113</v>
      </c>
      <c r="E72" s="8" t="s">
        <v>950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2"/>
      <c r="BI72" s="12"/>
      <c r="BJ72" s="12"/>
      <c r="BK72" s="12"/>
      <c r="BL72" s="12"/>
      <c r="BM72" s="12"/>
      <c r="BN72" s="12"/>
      <c r="BO72" s="12"/>
      <c r="BP72" s="12"/>
      <c r="BQ72" s="12"/>
      <c r="BR72" s="12"/>
      <c r="BS72" s="12"/>
      <c r="BT72" s="12"/>
      <c r="BU72" s="12"/>
      <c r="BV72" s="12"/>
      <c r="BW72" s="12"/>
      <c r="BX72" s="12"/>
      <c r="BY72" s="12"/>
      <c r="BZ72" s="12"/>
      <c r="CA72" s="12"/>
    </row>
    <row r="73" spans="1:79" x14ac:dyDescent="0.3">
      <c r="A73" s="8">
        <v>3</v>
      </c>
      <c r="B73" s="8" t="s">
        <v>952</v>
      </c>
      <c r="C73" s="8">
        <v>3</v>
      </c>
      <c r="D73" s="8">
        <v>114</v>
      </c>
      <c r="E73" s="8" t="s">
        <v>950</v>
      </c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2"/>
      <c r="BF73" s="12"/>
      <c r="BG73" s="12"/>
      <c r="BH73" s="12"/>
      <c r="BI73" s="12"/>
      <c r="BJ73" s="12"/>
      <c r="BK73" s="12"/>
      <c r="BL73" s="12"/>
      <c r="BM73" s="12"/>
      <c r="BN73" s="12"/>
      <c r="BO73" s="12"/>
      <c r="BP73" s="12"/>
      <c r="BQ73" s="12"/>
      <c r="BR73" s="12"/>
      <c r="BS73" s="12"/>
      <c r="BT73" s="12"/>
      <c r="BU73" s="12"/>
      <c r="BV73" s="12"/>
      <c r="BW73" s="12"/>
      <c r="BX73" s="12"/>
      <c r="BY73" s="12"/>
      <c r="BZ73" s="12"/>
      <c r="CA73" s="12"/>
    </row>
    <row r="74" spans="1:79" x14ac:dyDescent="0.3">
      <c r="A74" s="8">
        <v>3</v>
      </c>
      <c r="B74" s="8" t="s">
        <v>952</v>
      </c>
      <c r="C74" s="8">
        <v>3</v>
      </c>
      <c r="D74" s="8">
        <v>115</v>
      </c>
      <c r="E74" s="8" t="s">
        <v>950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  <c r="BE74" s="12"/>
      <c r="BF74" s="12"/>
      <c r="BG74" s="12"/>
      <c r="BH74" s="12"/>
      <c r="BI74" s="12"/>
      <c r="BJ74" s="12"/>
      <c r="BK74" s="12"/>
      <c r="BL74" s="12"/>
      <c r="BM74" s="12"/>
      <c r="BN74" s="12"/>
      <c r="BO74" s="12"/>
      <c r="BP74" s="12"/>
      <c r="BQ74" s="12"/>
      <c r="BR74" s="12"/>
      <c r="BS74" s="12"/>
      <c r="BT74" s="12"/>
      <c r="BU74" s="12"/>
      <c r="BV74" s="12"/>
      <c r="BW74" s="12"/>
      <c r="BX74" s="12"/>
      <c r="BY74" s="12"/>
      <c r="BZ74" s="12"/>
      <c r="CA74" s="12"/>
    </row>
    <row r="75" spans="1:79" x14ac:dyDescent="0.3">
      <c r="A75" s="8">
        <v>3</v>
      </c>
      <c r="B75" s="8" t="s">
        <v>952</v>
      </c>
      <c r="C75" s="8">
        <v>3</v>
      </c>
      <c r="D75" s="8">
        <v>116</v>
      </c>
      <c r="E75" s="8" t="s">
        <v>951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  <c r="BE75" s="12"/>
      <c r="BF75" s="12"/>
      <c r="BG75" s="12"/>
      <c r="BH75" s="12"/>
      <c r="BI75" s="12"/>
      <c r="BJ75" s="12"/>
      <c r="BK75" s="12"/>
      <c r="BL75" s="12"/>
      <c r="BM75" s="12"/>
      <c r="BN75" s="12"/>
      <c r="BO75" s="12"/>
      <c r="BP75" s="12"/>
      <c r="BQ75" s="12"/>
      <c r="BR75" s="12"/>
      <c r="BS75" s="12"/>
      <c r="BT75" s="12"/>
      <c r="BU75" s="12"/>
      <c r="BV75" s="12"/>
      <c r="BW75" s="12"/>
      <c r="BX75" s="12"/>
      <c r="BY75" s="12"/>
      <c r="BZ75" s="12"/>
      <c r="CA75" s="12"/>
    </row>
    <row r="76" spans="1:79" x14ac:dyDescent="0.3">
      <c r="A76" s="8">
        <v>3</v>
      </c>
      <c r="B76" s="8" t="s">
        <v>952</v>
      </c>
      <c r="C76" s="8">
        <v>3</v>
      </c>
      <c r="D76" s="8">
        <v>117</v>
      </c>
      <c r="E76" s="8" t="s">
        <v>951</v>
      </c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2"/>
      <c r="BF76" s="12"/>
      <c r="BG76" s="12"/>
      <c r="BH76" s="12"/>
      <c r="BI76" s="12"/>
      <c r="BJ76" s="12"/>
      <c r="BK76" s="12"/>
      <c r="BL76" s="12"/>
      <c r="BM76" s="12"/>
      <c r="BN76" s="12"/>
      <c r="BO76" s="12"/>
      <c r="BP76" s="12"/>
      <c r="BQ76" s="12"/>
      <c r="BR76" s="12"/>
      <c r="BS76" s="12"/>
      <c r="BT76" s="12"/>
      <c r="BU76" s="12"/>
      <c r="BV76" s="12"/>
      <c r="BW76" s="12"/>
      <c r="BX76" s="12"/>
      <c r="BY76" s="12"/>
      <c r="BZ76" s="12"/>
      <c r="CA76" s="12"/>
    </row>
    <row r="77" spans="1:79" x14ac:dyDescent="0.3">
      <c r="A77" s="8">
        <v>3</v>
      </c>
      <c r="B77" s="8" t="s">
        <v>952</v>
      </c>
      <c r="C77" s="8">
        <v>3</v>
      </c>
      <c r="D77" s="8">
        <v>118</v>
      </c>
      <c r="E77" s="8" t="s">
        <v>951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2"/>
      <c r="BF77" s="12"/>
      <c r="BG77" s="12"/>
      <c r="BH77" s="12"/>
      <c r="BI77" s="12"/>
      <c r="BJ77" s="12"/>
      <c r="BK77" s="12"/>
      <c r="BL77" s="12"/>
      <c r="BM77" s="12"/>
      <c r="BN77" s="12"/>
      <c r="BO77" s="12"/>
      <c r="BP77" s="12"/>
      <c r="BQ77" s="12"/>
      <c r="BR77" s="12"/>
      <c r="BS77" s="12"/>
      <c r="BT77" s="12"/>
      <c r="BU77" s="12"/>
      <c r="BV77" s="12"/>
      <c r="BW77" s="12"/>
      <c r="BX77" s="12"/>
      <c r="BY77" s="12"/>
      <c r="BZ77" s="12"/>
      <c r="CA77" s="12"/>
    </row>
    <row r="78" spans="1:79" x14ac:dyDescent="0.3">
      <c r="A78" s="8">
        <v>3</v>
      </c>
      <c r="B78" s="8" t="s">
        <v>952</v>
      </c>
      <c r="C78" s="8">
        <v>3</v>
      </c>
      <c r="D78" s="8">
        <v>119</v>
      </c>
      <c r="E78" s="8" t="s">
        <v>950</v>
      </c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2"/>
      <c r="BF78" s="12"/>
      <c r="BG78" s="12"/>
      <c r="BH78" s="12"/>
      <c r="BI78" s="12"/>
      <c r="BJ78" s="12"/>
      <c r="BK78" s="12"/>
      <c r="BL78" s="12"/>
      <c r="BM78" s="12"/>
      <c r="BN78" s="12"/>
      <c r="BO78" s="12"/>
      <c r="BP78" s="12"/>
      <c r="BQ78" s="12"/>
      <c r="BR78" s="12"/>
      <c r="BS78" s="12"/>
      <c r="BT78" s="12"/>
      <c r="BU78" s="12"/>
      <c r="BV78" s="12"/>
      <c r="BW78" s="12"/>
      <c r="BX78" s="12"/>
      <c r="BY78" s="12"/>
      <c r="BZ78" s="12"/>
      <c r="CA78" s="12"/>
    </row>
    <row r="79" spans="1:79" x14ac:dyDescent="0.3">
      <c r="A79" s="8">
        <v>3</v>
      </c>
      <c r="B79" s="8" t="s">
        <v>952</v>
      </c>
      <c r="C79" s="8">
        <v>3</v>
      </c>
      <c r="D79" s="8">
        <v>120</v>
      </c>
      <c r="E79" s="8" t="s">
        <v>950</v>
      </c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  <c r="BE79" s="12"/>
      <c r="BF79" s="12"/>
      <c r="BG79" s="12"/>
      <c r="BH79" s="12"/>
      <c r="BI79" s="12"/>
      <c r="BJ79" s="12"/>
      <c r="BK79" s="12"/>
      <c r="BL79" s="12"/>
      <c r="BM79" s="12"/>
      <c r="BN79" s="12"/>
      <c r="BO79" s="12"/>
      <c r="BP79" s="12"/>
      <c r="BQ79" s="12"/>
      <c r="BR79" s="12"/>
      <c r="BS79" s="12"/>
      <c r="BT79" s="12"/>
      <c r="BU79" s="12"/>
      <c r="BV79" s="12"/>
      <c r="BW79" s="12"/>
      <c r="BX79" s="12"/>
      <c r="BY79" s="12"/>
      <c r="BZ79" s="12"/>
      <c r="CA79" s="12"/>
    </row>
    <row r="80" spans="1:79" x14ac:dyDescent="0.3">
      <c r="A80" s="8">
        <v>3</v>
      </c>
      <c r="B80" s="8" t="s">
        <v>952</v>
      </c>
      <c r="C80" s="8">
        <v>3</v>
      </c>
      <c r="D80" s="8">
        <v>121</v>
      </c>
      <c r="E80" s="8" t="s">
        <v>950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  <c r="BE80" s="12"/>
      <c r="BF80" s="12"/>
      <c r="BG80" s="12"/>
      <c r="BH80" s="12"/>
      <c r="BI80" s="12"/>
      <c r="BJ80" s="12"/>
      <c r="BK80" s="12"/>
      <c r="BL80" s="12"/>
      <c r="BM80" s="12"/>
      <c r="BN80" s="12"/>
      <c r="BO80" s="12"/>
      <c r="BP80" s="12"/>
      <c r="BQ80" s="12"/>
      <c r="BR80" s="12"/>
      <c r="BS80" s="12"/>
      <c r="BT80" s="12"/>
      <c r="BU80" s="12"/>
      <c r="BV80" s="12"/>
      <c r="BW80" s="12"/>
      <c r="BX80" s="12"/>
      <c r="BY80" s="12"/>
      <c r="BZ80" s="12"/>
      <c r="CA80" s="12"/>
    </row>
    <row r="81" spans="1:79" x14ac:dyDescent="0.3">
      <c r="A81" s="8">
        <v>3</v>
      </c>
      <c r="B81" s="8" t="s">
        <v>952</v>
      </c>
      <c r="C81" s="8">
        <v>3</v>
      </c>
      <c r="D81" s="8">
        <v>122</v>
      </c>
      <c r="E81" s="8" t="s">
        <v>950</v>
      </c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12"/>
      <c r="AW81" s="12"/>
      <c r="AX81" s="12"/>
      <c r="AY81" s="12"/>
      <c r="AZ81" s="12"/>
      <c r="BA81" s="12"/>
      <c r="BB81" s="12"/>
      <c r="BC81" s="12"/>
      <c r="BD81" s="12"/>
      <c r="BE81" s="12"/>
      <c r="BF81" s="12"/>
      <c r="BG81" s="12"/>
      <c r="BH81" s="12"/>
      <c r="BI81" s="12"/>
      <c r="BJ81" s="12"/>
      <c r="BK81" s="12"/>
      <c r="BL81" s="12"/>
      <c r="BM81" s="12"/>
      <c r="BN81" s="12"/>
      <c r="BO81" s="12"/>
      <c r="BP81" s="12"/>
      <c r="BQ81" s="12"/>
      <c r="BR81" s="12"/>
      <c r="BS81" s="12"/>
      <c r="BT81" s="12"/>
      <c r="BU81" s="12"/>
      <c r="BV81" s="12"/>
      <c r="BW81" s="12"/>
      <c r="BX81" s="12"/>
      <c r="BY81" s="12"/>
      <c r="BZ81" s="12"/>
      <c r="CA81" s="12"/>
    </row>
    <row r="82" spans="1:79" x14ac:dyDescent="0.3">
      <c r="A82" s="8">
        <v>3</v>
      </c>
      <c r="B82" s="8" t="s">
        <v>952</v>
      </c>
      <c r="C82" s="8">
        <v>3</v>
      </c>
      <c r="D82" s="8">
        <v>123</v>
      </c>
      <c r="E82" s="8" t="s">
        <v>951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12"/>
      <c r="AW82" s="12"/>
      <c r="AX82" s="12"/>
      <c r="AY82" s="12"/>
      <c r="AZ82" s="12"/>
      <c r="BA82" s="12"/>
      <c r="BB82" s="12"/>
      <c r="BC82" s="12"/>
      <c r="BD82" s="12"/>
      <c r="BE82" s="12"/>
      <c r="BF82" s="12"/>
      <c r="BG82" s="12"/>
      <c r="BH82" s="12"/>
      <c r="BI82" s="12"/>
      <c r="BJ82" s="12"/>
      <c r="BK82" s="12"/>
      <c r="BL82" s="12"/>
      <c r="BM82" s="12"/>
      <c r="BN82" s="12"/>
      <c r="BO82" s="12"/>
      <c r="BP82" s="12"/>
      <c r="BQ82" s="12"/>
      <c r="BR82" s="12"/>
      <c r="BS82" s="12"/>
      <c r="BT82" s="12"/>
      <c r="BU82" s="12"/>
      <c r="BV82" s="12"/>
      <c r="BW82" s="12"/>
      <c r="BX82" s="12"/>
      <c r="BY82" s="12"/>
      <c r="BZ82" s="12"/>
      <c r="CA82" s="12"/>
    </row>
    <row r="83" spans="1:79" x14ac:dyDescent="0.3">
      <c r="A83" s="8">
        <v>3</v>
      </c>
      <c r="B83" s="8" t="s">
        <v>952</v>
      </c>
      <c r="C83" s="8">
        <v>3</v>
      </c>
      <c r="D83" s="8">
        <v>124</v>
      </c>
      <c r="E83" s="8" t="s">
        <v>950</v>
      </c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12"/>
      <c r="AW83" s="12"/>
      <c r="AX83" s="12"/>
      <c r="AY83" s="12"/>
      <c r="AZ83" s="12"/>
      <c r="BA83" s="12"/>
      <c r="BB83" s="12"/>
      <c r="BC83" s="12"/>
      <c r="BD83" s="12"/>
      <c r="BE83" s="12"/>
      <c r="BF83" s="12"/>
      <c r="BG83" s="12"/>
      <c r="BH83" s="12"/>
      <c r="BI83" s="12"/>
      <c r="BJ83" s="12"/>
      <c r="BK83" s="12"/>
      <c r="BL83" s="12"/>
      <c r="BM83" s="12"/>
      <c r="BN83" s="12"/>
      <c r="BO83" s="12"/>
      <c r="BP83" s="12"/>
      <c r="BQ83" s="12"/>
      <c r="BR83" s="12"/>
      <c r="BS83" s="12"/>
      <c r="BT83" s="12"/>
      <c r="BU83" s="12"/>
      <c r="BV83" s="12"/>
      <c r="BW83" s="12"/>
      <c r="BX83" s="12"/>
      <c r="BY83" s="12"/>
      <c r="BZ83" s="12"/>
      <c r="CA83" s="12"/>
    </row>
    <row r="84" spans="1:79" x14ac:dyDescent="0.3">
      <c r="A84" s="8">
        <v>1</v>
      </c>
      <c r="B84" s="8" t="s">
        <v>952</v>
      </c>
      <c r="C84" s="8">
        <v>3</v>
      </c>
      <c r="D84" s="8">
        <v>125</v>
      </c>
      <c r="E84" s="8" t="s">
        <v>950</v>
      </c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  <c r="BB84" s="12"/>
      <c r="BC84" s="12"/>
      <c r="BD84" s="12"/>
      <c r="BE84" s="12"/>
      <c r="BF84" s="12"/>
      <c r="BG84" s="12"/>
      <c r="BH84" s="12"/>
      <c r="BI84" s="12"/>
      <c r="BJ84" s="12"/>
      <c r="BK84" s="12"/>
      <c r="BL84" s="12"/>
      <c r="BM84" s="12"/>
      <c r="BN84" s="12"/>
      <c r="BO84" s="12"/>
      <c r="BP84" s="12"/>
      <c r="BQ84" s="12"/>
      <c r="BR84" s="12"/>
      <c r="BS84" s="12"/>
      <c r="BT84" s="12"/>
      <c r="BU84" s="12"/>
      <c r="BV84" s="12"/>
      <c r="BW84" s="12"/>
      <c r="BX84" s="12"/>
      <c r="BY84" s="12"/>
      <c r="BZ84" s="12"/>
      <c r="CA84" s="12"/>
    </row>
    <row r="85" spans="1:79" x14ac:dyDescent="0.3">
      <c r="A85" s="8">
        <v>1</v>
      </c>
      <c r="B85" s="8" t="s">
        <v>952</v>
      </c>
      <c r="C85" s="8">
        <v>3</v>
      </c>
      <c r="D85" s="8">
        <v>126</v>
      </c>
      <c r="E85" s="8" t="s">
        <v>951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  <c r="BB85" s="12"/>
      <c r="BC85" s="12"/>
      <c r="BD85" s="12"/>
      <c r="BE85" s="12"/>
      <c r="BF85" s="12"/>
      <c r="BG85" s="12"/>
      <c r="BH85" s="12"/>
      <c r="BI85" s="12"/>
      <c r="BJ85" s="12"/>
      <c r="BK85" s="12"/>
      <c r="BL85" s="12"/>
      <c r="BM85" s="12"/>
      <c r="BN85" s="12"/>
      <c r="BO85" s="12"/>
      <c r="BP85" s="12"/>
      <c r="BQ85" s="12"/>
      <c r="BR85" s="12"/>
      <c r="BS85" s="12"/>
      <c r="BT85" s="12"/>
      <c r="BU85" s="12"/>
      <c r="BV85" s="12"/>
      <c r="BW85" s="12"/>
      <c r="BX85" s="12"/>
      <c r="BY85" s="12"/>
      <c r="BZ85" s="12"/>
      <c r="CA85" s="12"/>
    </row>
    <row r="86" spans="1:79" x14ac:dyDescent="0.3">
      <c r="A86" s="8">
        <v>1</v>
      </c>
      <c r="B86" s="8" t="s">
        <v>953</v>
      </c>
      <c r="C86" s="8">
        <v>3</v>
      </c>
      <c r="D86" s="8">
        <v>127</v>
      </c>
      <c r="E86" s="8" t="s">
        <v>950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  <c r="BB86" s="12"/>
      <c r="BC86" s="12"/>
      <c r="BD86" s="12"/>
      <c r="BE86" s="12"/>
      <c r="BF86" s="12"/>
      <c r="BG86" s="12"/>
      <c r="BH86" s="12"/>
      <c r="BI86" s="12"/>
      <c r="BJ86" s="12"/>
      <c r="BK86" s="12"/>
      <c r="BL86" s="12"/>
      <c r="BM86" s="12"/>
      <c r="BN86" s="12"/>
      <c r="BO86" s="12"/>
      <c r="BP86" s="12"/>
      <c r="BQ86" s="12"/>
      <c r="BR86" s="12"/>
      <c r="BS86" s="12"/>
      <c r="BT86" s="12"/>
      <c r="BU86" s="12"/>
      <c r="BV86" s="12"/>
      <c r="BW86" s="12"/>
      <c r="BX86" s="12"/>
      <c r="BY86" s="12"/>
      <c r="BZ86" s="12"/>
      <c r="CA86" s="12"/>
    </row>
    <row r="87" spans="1:79" x14ac:dyDescent="0.3">
      <c r="A87" s="8">
        <v>1</v>
      </c>
      <c r="B87" s="8" t="s">
        <v>953</v>
      </c>
      <c r="C87" s="8">
        <v>3</v>
      </c>
      <c r="D87" s="8">
        <v>128</v>
      </c>
      <c r="E87" s="8" t="s">
        <v>951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  <c r="BB87" s="12"/>
      <c r="BC87" s="12"/>
      <c r="BD87" s="12"/>
      <c r="BE87" s="12"/>
      <c r="BF87" s="12"/>
      <c r="BG87" s="12"/>
      <c r="BH87" s="12"/>
      <c r="BI87" s="12"/>
      <c r="BJ87" s="12"/>
      <c r="BK87" s="12"/>
      <c r="BL87" s="12"/>
      <c r="BM87" s="12"/>
      <c r="BN87" s="12"/>
      <c r="BO87" s="12"/>
      <c r="BP87" s="12"/>
      <c r="BQ87" s="12"/>
      <c r="BR87" s="12"/>
      <c r="BS87" s="12"/>
      <c r="BT87" s="12"/>
      <c r="BU87" s="12"/>
      <c r="BV87" s="12"/>
      <c r="BW87" s="12"/>
      <c r="BX87" s="12"/>
      <c r="BY87" s="12"/>
      <c r="BZ87" s="12"/>
      <c r="CA87" s="12"/>
    </row>
    <row r="88" spans="1:79" x14ac:dyDescent="0.3">
      <c r="A88" s="8">
        <v>1</v>
      </c>
      <c r="B88" s="8" t="s">
        <v>953</v>
      </c>
      <c r="C88" s="8">
        <v>3</v>
      </c>
      <c r="D88" s="8">
        <v>129</v>
      </c>
      <c r="E88" s="8" t="s">
        <v>950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12"/>
      <c r="AW88" s="12"/>
      <c r="AX88" s="12"/>
      <c r="AY88" s="12"/>
      <c r="AZ88" s="12"/>
      <c r="BA88" s="12"/>
      <c r="BB88" s="12"/>
      <c r="BC88" s="12"/>
      <c r="BD88" s="12"/>
      <c r="BE88" s="12"/>
      <c r="BF88" s="12"/>
      <c r="BG88" s="12"/>
      <c r="BH88" s="12"/>
      <c r="BI88" s="12"/>
      <c r="BJ88" s="12"/>
      <c r="BK88" s="12"/>
      <c r="BL88" s="12"/>
      <c r="BM88" s="12"/>
      <c r="BN88" s="12"/>
      <c r="BO88" s="12"/>
      <c r="BP88" s="12"/>
      <c r="BQ88" s="12"/>
      <c r="BR88" s="12"/>
      <c r="BS88" s="12"/>
      <c r="BT88" s="12"/>
      <c r="BU88" s="12"/>
      <c r="BV88" s="12"/>
      <c r="BW88" s="12"/>
      <c r="BX88" s="12"/>
      <c r="BY88" s="12"/>
      <c r="BZ88" s="12"/>
      <c r="CA88" s="12"/>
    </row>
    <row r="89" spans="1:79" x14ac:dyDescent="0.3">
      <c r="A89" s="8">
        <v>1</v>
      </c>
      <c r="B89" s="8" t="s">
        <v>953</v>
      </c>
      <c r="C89" s="8">
        <v>3</v>
      </c>
      <c r="D89" s="8">
        <v>130</v>
      </c>
      <c r="E89" s="8" t="s">
        <v>950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12"/>
      <c r="AW89" s="12"/>
      <c r="AX89" s="12"/>
      <c r="AY89" s="12"/>
      <c r="AZ89" s="12"/>
      <c r="BA89" s="12"/>
      <c r="BB89" s="12"/>
      <c r="BC89" s="12"/>
      <c r="BD89" s="12"/>
      <c r="BE89" s="12"/>
      <c r="BF89" s="12"/>
      <c r="BG89" s="12"/>
      <c r="BH89" s="12"/>
      <c r="BI89" s="12"/>
      <c r="BJ89" s="12"/>
      <c r="BK89" s="12"/>
      <c r="BL89" s="12"/>
      <c r="BM89" s="12"/>
      <c r="BN89" s="12"/>
      <c r="BO89" s="12"/>
      <c r="BP89" s="12"/>
      <c r="BQ89" s="12"/>
      <c r="BR89" s="12"/>
      <c r="BS89" s="12"/>
      <c r="BT89" s="12"/>
      <c r="BU89" s="12"/>
      <c r="BV89" s="12"/>
      <c r="BW89" s="12"/>
      <c r="BX89" s="12"/>
      <c r="BY89" s="12"/>
      <c r="BZ89" s="12"/>
      <c r="CA89" s="12"/>
    </row>
    <row r="90" spans="1:79" x14ac:dyDescent="0.3">
      <c r="A90" s="8">
        <v>1</v>
      </c>
      <c r="B90" s="8" t="s">
        <v>953</v>
      </c>
      <c r="C90" s="8">
        <v>3</v>
      </c>
      <c r="D90" s="8">
        <v>131</v>
      </c>
      <c r="E90" s="8" t="s">
        <v>950</v>
      </c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12"/>
      <c r="AW90" s="12"/>
      <c r="AX90" s="12"/>
      <c r="AY90" s="12"/>
      <c r="AZ90" s="12"/>
      <c r="BA90" s="12"/>
      <c r="BB90" s="12"/>
      <c r="BC90" s="12"/>
      <c r="BD90" s="12"/>
      <c r="BE90" s="12"/>
      <c r="BF90" s="12"/>
      <c r="BG90" s="12"/>
      <c r="BH90" s="12"/>
      <c r="BI90" s="12"/>
      <c r="BJ90" s="12"/>
      <c r="BK90" s="12"/>
      <c r="BL90" s="12"/>
      <c r="BM90" s="12"/>
      <c r="BN90" s="12"/>
      <c r="BO90" s="12"/>
      <c r="BP90" s="12"/>
      <c r="BQ90" s="12"/>
      <c r="BR90" s="12"/>
      <c r="BS90" s="12"/>
      <c r="BT90" s="12"/>
      <c r="BU90" s="12"/>
      <c r="BV90" s="12"/>
      <c r="BW90" s="12"/>
      <c r="BX90" s="12"/>
      <c r="BY90" s="12"/>
      <c r="BZ90" s="12"/>
      <c r="CA90" s="12"/>
    </row>
    <row r="91" spans="1:79" x14ac:dyDescent="0.3">
      <c r="A91" s="8">
        <v>1</v>
      </c>
      <c r="B91" s="8" t="s">
        <v>953</v>
      </c>
      <c r="C91" s="8">
        <v>3</v>
      </c>
      <c r="D91" s="8">
        <v>132</v>
      </c>
      <c r="E91" s="8" t="s">
        <v>950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12"/>
      <c r="AW91" s="12"/>
      <c r="AX91" s="12"/>
      <c r="AY91" s="12"/>
      <c r="AZ91" s="12"/>
      <c r="BA91" s="12"/>
      <c r="BB91" s="12"/>
      <c r="BC91" s="12"/>
      <c r="BD91" s="12"/>
      <c r="BE91" s="12"/>
      <c r="BF91" s="12"/>
      <c r="BG91" s="12"/>
      <c r="BH91" s="12"/>
      <c r="BI91" s="12"/>
      <c r="BJ91" s="12"/>
      <c r="BK91" s="12"/>
      <c r="BL91" s="12"/>
      <c r="BM91" s="12"/>
      <c r="BN91" s="12"/>
      <c r="BO91" s="12"/>
      <c r="BP91" s="12"/>
      <c r="BQ91" s="12"/>
      <c r="BR91" s="12"/>
      <c r="BS91" s="12"/>
      <c r="BT91" s="12"/>
      <c r="BU91" s="12"/>
      <c r="BV91" s="12"/>
      <c r="BW91" s="12"/>
      <c r="BX91" s="12"/>
      <c r="BY91" s="12"/>
      <c r="BZ91" s="12"/>
      <c r="CA91" s="12"/>
    </row>
    <row r="92" spans="1:79" x14ac:dyDescent="0.3">
      <c r="A92" s="8">
        <v>1</v>
      </c>
      <c r="B92" s="8" t="s">
        <v>953</v>
      </c>
      <c r="C92" s="8">
        <v>3</v>
      </c>
      <c r="D92" s="8">
        <v>133</v>
      </c>
      <c r="E92" s="8" t="s">
        <v>951</v>
      </c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12"/>
      <c r="AW92" s="12"/>
      <c r="AX92" s="12"/>
      <c r="AY92" s="12"/>
      <c r="AZ92" s="12"/>
      <c r="BA92" s="12"/>
      <c r="BB92" s="12"/>
      <c r="BC92" s="12"/>
      <c r="BD92" s="12"/>
      <c r="BE92" s="12"/>
      <c r="BF92" s="12"/>
      <c r="BG92" s="12"/>
      <c r="BH92" s="12"/>
      <c r="BI92" s="12"/>
      <c r="BJ92" s="12"/>
      <c r="BK92" s="12"/>
      <c r="BL92" s="12"/>
      <c r="BM92" s="12"/>
      <c r="BN92" s="12"/>
      <c r="BO92" s="12"/>
      <c r="BP92" s="12"/>
      <c r="BQ92" s="12"/>
      <c r="BR92" s="12"/>
      <c r="BS92" s="12"/>
      <c r="BT92" s="12"/>
      <c r="BU92" s="12"/>
      <c r="BV92" s="12"/>
      <c r="BW92" s="12"/>
      <c r="BX92" s="12"/>
      <c r="BY92" s="12"/>
      <c r="BZ92" s="12"/>
      <c r="CA92" s="12"/>
    </row>
    <row r="93" spans="1:79" x14ac:dyDescent="0.3">
      <c r="A93" s="8">
        <v>1</v>
      </c>
      <c r="B93" s="8" t="s">
        <v>953</v>
      </c>
      <c r="C93" s="8">
        <v>3</v>
      </c>
      <c r="D93" s="8">
        <v>134</v>
      </c>
      <c r="E93" s="8" t="s">
        <v>950</v>
      </c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12"/>
      <c r="AW93" s="12"/>
      <c r="AX93" s="12"/>
      <c r="AY93" s="12"/>
      <c r="AZ93" s="12"/>
      <c r="BA93" s="12"/>
      <c r="BB93" s="12"/>
      <c r="BC93" s="12"/>
      <c r="BD93" s="12"/>
      <c r="BE93" s="12"/>
      <c r="BF93" s="12"/>
      <c r="BG93" s="12"/>
      <c r="BH93" s="12"/>
      <c r="BI93" s="12"/>
      <c r="BJ93" s="12"/>
      <c r="BK93" s="12"/>
      <c r="BL93" s="12"/>
      <c r="BM93" s="12"/>
      <c r="BN93" s="12"/>
      <c r="BO93" s="12"/>
      <c r="BP93" s="12"/>
      <c r="BQ93" s="12"/>
      <c r="BR93" s="12"/>
      <c r="BS93" s="12"/>
      <c r="BT93" s="12"/>
      <c r="BU93" s="12"/>
      <c r="BV93" s="12"/>
      <c r="BW93" s="12"/>
      <c r="BX93" s="12"/>
      <c r="BY93" s="12"/>
      <c r="BZ93" s="12"/>
      <c r="CA93" s="12"/>
    </row>
    <row r="94" spans="1:79" x14ac:dyDescent="0.3">
      <c r="A94" s="8">
        <v>1</v>
      </c>
      <c r="B94" s="8" t="s">
        <v>953</v>
      </c>
      <c r="C94" s="8">
        <v>3</v>
      </c>
      <c r="D94" s="8">
        <v>135</v>
      </c>
      <c r="E94" s="8" t="s">
        <v>951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12"/>
      <c r="AW94" s="12"/>
      <c r="AX94" s="12"/>
      <c r="AY94" s="12"/>
      <c r="AZ94" s="12"/>
      <c r="BA94" s="12"/>
      <c r="BB94" s="12"/>
      <c r="BC94" s="12"/>
      <c r="BD94" s="12"/>
      <c r="BE94" s="12"/>
      <c r="BF94" s="12"/>
      <c r="BG94" s="12"/>
      <c r="BH94" s="12"/>
      <c r="BI94" s="12"/>
      <c r="BJ94" s="12"/>
      <c r="BK94" s="12"/>
      <c r="BL94" s="12"/>
      <c r="BM94" s="12"/>
      <c r="BN94" s="12"/>
      <c r="BO94" s="12"/>
      <c r="BP94" s="12"/>
      <c r="BQ94" s="12"/>
      <c r="BR94" s="12"/>
      <c r="BS94" s="12"/>
      <c r="BT94" s="12"/>
      <c r="BU94" s="12"/>
      <c r="BV94" s="12"/>
      <c r="BW94" s="12"/>
      <c r="BX94" s="12"/>
      <c r="BY94" s="12"/>
      <c r="BZ94" s="12"/>
      <c r="CA94" s="12"/>
    </row>
    <row r="95" spans="1:79" x14ac:dyDescent="0.3">
      <c r="A95" s="8">
        <v>1</v>
      </c>
      <c r="B95" s="8" t="s">
        <v>953</v>
      </c>
      <c r="C95" s="8">
        <v>3</v>
      </c>
      <c r="D95" s="8">
        <v>136</v>
      </c>
      <c r="E95" s="8" t="s">
        <v>951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</row>
    <row r="96" spans="1:79" x14ac:dyDescent="0.3">
      <c r="A96" s="8">
        <v>1</v>
      </c>
      <c r="B96" s="8" t="s">
        <v>953</v>
      </c>
      <c r="C96" s="8">
        <v>3</v>
      </c>
      <c r="D96" s="8">
        <v>137</v>
      </c>
      <c r="E96" s="8" t="s">
        <v>950</v>
      </c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  <c r="BI96" s="12"/>
      <c r="BJ96" s="12"/>
      <c r="BK96" s="12"/>
      <c r="BL96" s="12"/>
      <c r="BM96" s="12"/>
      <c r="BN96" s="12"/>
      <c r="BO96" s="12"/>
      <c r="BP96" s="12"/>
      <c r="BQ96" s="12"/>
      <c r="BR96" s="12"/>
      <c r="BS96" s="12"/>
      <c r="BT96" s="12"/>
      <c r="BU96" s="12"/>
      <c r="BV96" s="12"/>
      <c r="BW96" s="12"/>
      <c r="BX96" s="12"/>
      <c r="BY96" s="12"/>
      <c r="BZ96" s="12"/>
      <c r="CA96" s="12"/>
    </row>
    <row r="97" spans="1:79" x14ac:dyDescent="0.3">
      <c r="A97" s="8">
        <v>1</v>
      </c>
      <c r="B97" s="8" t="s">
        <v>953</v>
      </c>
      <c r="C97" s="8">
        <v>3</v>
      </c>
      <c r="D97" s="8">
        <v>138</v>
      </c>
      <c r="E97" s="8" t="s">
        <v>951</v>
      </c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  <c r="BI97" s="12"/>
      <c r="BJ97" s="12"/>
      <c r="BK97" s="12"/>
      <c r="BL97" s="12"/>
      <c r="BM97" s="12"/>
      <c r="BN97" s="12"/>
      <c r="BO97" s="12"/>
      <c r="BP97" s="12"/>
      <c r="BQ97" s="12"/>
      <c r="BR97" s="12"/>
      <c r="BS97" s="12"/>
      <c r="BT97" s="12"/>
      <c r="BU97" s="12"/>
      <c r="BV97" s="12"/>
      <c r="BW97" s="12"/>
      <c r="BX97" s="12"/>
      <c r="BY97" s="12"/>
      <c r="BZ97" s="12"/>
      <c r="CA97" s="12"/>
    </row>
    <row r="98" spans="1:79" x14ac:dyDescent="0.3">
      <c r="A98" s="8">
        <v>1</v>
      </c>
      <c r="B98" s="8" t="s">
        <v>953</v>
      </c>
      <c r="C98" s="8">
        <v>3</v>
      </c>
      <c r="D98" s="8">
        <v>139</v>
      </c>
      <c r="E98" s="8" t="s">
        <v>950</v>
      </c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  <c r="BI98" s="12"/>
      <c r="BJ98" s="12"/>
      <c r="BK98" s="12"/>
      <c r="BL98" s="12"/>
      <c r="BM98" s="12"/>
      <c r="BN98" s="12"/>
      <c r="BO98" s="12"/>
      <c r="BP98" s="12"/>
      <c r="BQ98" s="12"/>
      <c r="BR98" s="12"/>
      <c r="BS98" s="12"/>
      <c r="BT98" s="12"/>
      <c r="BU98" s="12"/>
      <c r="BV98" s="12"/>
      <c r="BW98" s="12"/>
      <c r="BX98" s="12"/>
      <c r="BY98" s="12"/>
      <c r="BZ98" s="12"/>
      <c r="CA98" s="12"/>
    </row>
    <row r="99" spans="1:79" x14ac:dyDescent="0.3">
      <c r="A99" s="8">
        <v>1</v>
      </c>
      <c r="B99" s="8" t="s">
        <v>953</v>
      </c>
      <c r="C99" s="8">
        <v>3</v>
      </c>
      <c r="D99" s="8">
        <v>140</v>
      </c>
      <c r="E99" s="8" t="s">
        <v>951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12"/>
      <c r="AW99" s="12"/>
      <c r="AX99" s="12"/>
      <c r="AY99" s="12"/>
      <c r="AZ99" s="12"/>
      <c r="BA99" s="12"/>
      <c r="BB99" s="12"/>
      <c r="BC99" s="12"/>
      <c r="BD99" s="12"/>
      <c r="BE99" s="12"/>
      <c r="BF99" s="12"/>
      <c r="BG99" s="12"/>
      <c r="BH99" s="12"/>
      <c r="BI99" s="12"/>
      <c r="BJ99" s="12"/>
      <c r="BK99" s="12"/>
      <c r="BL99" s="12"/>
      <c r="BM99" s="12"/>
      <c r="BN99" s="12"/>
      <c r="BO99" s="12"/>
      <c r="BP99" s="12"/>
      <c r="BQ99" s="12"/>
      <c r="BR99" s="12"/>
      <c r="BS99" s="12"/>
      <c r="BT99" s="12"/>
      <c r="BU99" s="12"/>
      <c r="BV99" s="12"/>
      <c r="BW99" s="12"/>
      <c r="BX99" s="12"/>
      <c r="BY99" s="12"/>
      <c r="BZ99" s="12"/>
      <c r="CA99" s="12"/>
    </row>
    <row r="100" spans="1:79" x14ac:dyDescent="0.3">
      <c r="A100" s="8">
        <v>1</v>
      </c>
      <c r="B100" s="8" t="s">
        <v>953</v>
      </c>
      <c r="C100" s="8">
        <v>3</v>
      </c>
      <c r="D100" s="8">
        <v>141</v>
      </c>
      <c r="E100" s="8" t="s">
        <v>950</v>
      </c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12"/>
      <c r="AW100" s="12"/>
      <c r="AX100" s="12"/>
      <c r="AY100" s="12"/>
      <c r="AZ100" s="12"/>
      <c r="BA100" s="12"/>
      <c r="BB100" s="12"/>
      <c r="BC100" s="12"/>
      <c r="BD100" s="12"/>
      <c r="BE100" s="12"/>
      <c r="BF100" s="12"/>
      <c r="BG100" s="12"/>
      <c r="BH100" s="12"/>
      <c r="BI100" s="12"/>
      <c r="BJ100" s="12"/>
      <c r="BK100" s="12"/>
      <c r="BL100" s="12"/>
      <c r="BM100" s="12"/>
      <c r="BN100" s="12"/>
      <c r="BO100" s="12"/>
      <c r="BP100" s="12"/>
      <c r="BQ100" s="12"/>
      <c r="BR100" s="12"/>
      <c r="BS100" s="12"/>
      <c r="BT100" s="12"/>
      <c r="BU100" s="12"/>
      <c r="BV100" s="12"/>
      <c r="BW100" s="12"/>
      <c r="BX100" s="12"/>
      <c r="BY100" s="12"/>
      <c r="BZ100" s="12"/>
      <c r="CA100" s="12"/>
    </row>
    <row r="101" spans="1:79" x14ac:dyDescent="0.3">
      <c r="A101" s="8">
        <v>1</v>
      </c>
      <c r="B101" s="8" t="s">
        <v>953</v>
      </c>
      <c r="C101" s="8">
        <v>3</v>
      </c>
      <c r="D101" s="8">
        <v>142</v>
      </c>
      <c r="E101" s="8" t="s">
        <v>950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12"/>
      <c r="AW101" s="12"/>
      <c r="AX101" s="12"/>
      <c r="AY101" s="12"/>
      <c r="AZ101" s="12"/>
      <c r="BA101" s="12"/>
      <c r="BB101" s="12"/>
      <c r="BC101" s="12"/>
      <c r="BD101" s="12"/>
      <c r="BE101" s="12"/>
      <c r="BF101" s="12"/>
      <c r="BG101" s="12"/>
      <c r="BH101" s="12"/>
      <c r="BI101" s="12"/>
      <c r="BJ101" s="12"/>
      <c r="BK101" s="12"/>
      <c r="BL101" s="12"/>
      <c r="BM101" s="12"/>
      <c r="BN101" s="12"/>
      <c r="BO101" s="12"/>
      <c r="BP101" s="12"/>
      <c r="BQ101" s="12"/>
      <c r="BR101" s="12"/>
      <c r="BS101" s="12"/>
      <c r="BT101" s="12"/>
      <c r="BU101" s="12"/>
      <c r="BV101" s="12"/>
      <c r="BW101" s="12"/>
      <c r="BX101" s="12"/>
      <c r="BY101" s="12"/>
      <c r="BZ101" s="12"/>
      <c r="CA101" s="12"/>
    </row>
    <row r="102" spans="1:79" x14ac:dyDescent="0.3">
      <c r="A102" s="8">
        <v>1</v>
      </c>
      <c r="B102" s="8" t="s">
        <v>953</v>
      </c>
      <c r="C102" s="8">
        <v>3</v>
      </c>
      <c r="D102" s="8">
        <v>143</v>
      </c>
      <c r="E102" s="8" t="s">
        <v>951</v>
      </c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12"/>
      <c r="AW102" s="12"/>
      <c r="AX102" s="12"/>
      <c r="AY102" s="12"/>
      <c r="AZ102" s="12"/>
      <c r="BA102" s="12"/>
      <c r="BB102" s="12"/>
      <c r="BC102" s="12"/>
      <c r="BD102" s="12"/>
      <c r="BE102" s="12"/>
      <c r="BF102" s="12"/>
      <c r="BG102" s="12"/>
      <c r="BH102" s="12"/>
      <c r="BI102" s="12"/>
      <c r="BJ102" s="12"/>
      <c r="BK102" s="12"/>
      <c r="BL102" s="12"/>
      <c r="BM102" s="12"/>
      <c r="BN102" s="12"/>
      <c r="BO102" s="12"/>
      <c r="BP102" s="12"/>
      <c r="BQ102" s="12"/>
      <c r="BR102" s="12"/>
      <c r="BS102" s="12"/>
      <c r="BT102" s="12"/>
      <c r="BU102" s="12"/>
      <c r="BV102" s="12"/>
      <c r="BW102" s="12"/>
      <c r="BX102" s="12"/>
      <c r="BY102" s="12"/>
      <c r="BZ102" s="12"/>
      <c r="CA102" s="12"/>
    </row>
    <row r="103" spans="1:79" x14ac:dyDescent="0.3">
      <c r="A103" s="8">
        <v>1</v>
      </c>
      <c r="B103" s="8" t="s">
        <v>953</v>
      </c>
      <c r="C103" s="8">
        <v>3</v>
      </c>
      <c r="D103" s="8">
        <v>144</v>
      </c>
      <c r="E103" s="8" t="s">
        <v>951</v>
      </c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12"/>
      <c r="AW103" s="12"/>
      <c r="AX103" s="12"/>
      <c r="AY103" s="12"/>
      <c r="AZ103" s="12"/>
      <c r="BA103" s="12"/>
      <c r="BB103" s="12"/>
      <c r="BC103" s="12"/>
      <c r="BD103" s="12"/>
      <c r="BE103" s="12"/>
      <c r="BF103" s="12"/>
      <c r="BG103" s="12"/>
      <c r="BH103" s="12"/>
      <c r="BI103" s="12"/>
      <c r="BJ103" s="12"/>
      <c r="BK103" s="12"/>
      <c r="BL103" s="12"/>
      <c r="BM103" s="12"/>
      <c r="BN103" s="12"/>
      <c r="BO103" s="12"/>
      <c r="BP103" s="12"/>
      <c r="BQ103" s="12"/>
      <c r="BR103" s="12"/>
      <c r="BS103" s="12"/>
      <c r="BT103" s="12"/>
      <c r="BU103" s="12"/>
      <c r="BV103" s="12"/>
      <c r="BW103" s="12"/>
      <c r="BX103" s="12"/>
      <c r="BY103" s="12"/>
      <c r="BZ103" s="12"/>
      <c r="CA103" s="12"/>
    </row>
    <row r="104" spans="1:79" x14ac:dyDescent="0.3">
      <c r="A104" s="8">
        <v>1</v>
      </c>
      <c r="B104" s="8" t="s">
        <v>953</v>
      </c>
      <c r="C104" s="8">
        <v>3</v>
      </c>
      <c r="D104" s="8">
        <v>145</v>
      </c>
      <c r="E104" s="8" t="s">
        <v>950</v>
      </c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12"/>
      <c r="AW104" s="12"/>
      <c r="AX104" s="12"/>
      <c r="AY104" s="12"/>
      <c r="AZ104" s="12"/>
      <c r="BA104" s="12"/>
      <c r="BB104" s="12"/>
      <c r="BC104" s="12"/>
      <c r="BD104" s="12"/>
      <c r="BE104" s="12"/>
      <c r="BF104" s="12"/>
      <c r="BG104" s="12"/>
      <c r="BH104" s="12"/>
      <c r="BI104" s="12"/>
      <c r="BJ104" s="12"/>
      <c r="BK104" s="12"/>
      <c r="BL104" s="12"/>
      <c r="BM104" s="12"/>
      <c r="BN104" s="12"/>
      <c r="BO104" s="12"/>
      <c r="BP104" s="12"/>
      <c r="BQ104" s="12"/>
      <c r="BR104" s="12"/>
      <c r="BS104" s="12"/>
      <c r="BT104" s="12"/>
      <c r="BU104" s="12"/>
      <c r="BV104" s="12"/>
      <c r="BW104" s="12"/>
      <c r="BX104" s="12"/>
      <c r="BY104" s="12"/>
      <c r="BZ104" s="12"/>
      <c r="CA104" s="12"/>
    </row>
    <row r="105" spans="1:79" x14ac:dyDescent="0.3">
      <c r="A105" s="8">
        <v>2</v>
      </c>
      <c r="B105" s="8" t="s">
        <v>953</v>
      </c>
      <c r="C105" s="8">
        <v>3</v>
      </c>
      <c r="D105" s="8">
        <v>146</v>
      </c>
      <c r="E105" s="8" t="s">
        <v>950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12"/>
      <c r="AW105" s="12"/>
      <c r="AX105" s="12"/>
      <c r="AY105" s="12"/>
      <c r="AZ105" s="12"/>
      <c r="BA105" s="12"/>
      <c r="BB105" s="12"/>
      <c r="BC105" s="12"/>
      <c r="BD105" s="12"/>
      <c r="BE105" s="12"/>
      <c r="BF105" s="12"/>
      <c r="BG105" s="12"/>
      <c r="BH105" s="12"/>
      <c r="BI105" s="12"/>
      <c r="BJ105" s="12"/>
      <c r="BK105" s="12"/>
      <c r="BL105" s="12"/>
      <c r="BM105" s="12"/>
      <c r="BN105" s="12"/>
      <c r="BO105" s="12"/>
      <c r="BP105" s="12"/>
      <c r="BQ105" s="12"/>
      <c r="BR105" s="12"/>
      <c r="BS105" s="12"/>
      <c r="BT105" s="12"/>
      <c r="BU105" s="12"/>
      <c r="BV105" s="12"/>
      <c r="BW105" s="12"/>
      <c r="BX105" s="12"/>
      <c r="BY105" s="12"/>
      <c r="BZ105" s="12"/>
      <c r="CA105" s="12"/>
    </row>
    <row r="106" spans="1:79" x14ac:dyDescent="0.3">
      <c r="A106" s="8">
        <v>2</v>
      </c>
      <c r="B106" s="8" t="s">
        <v>953</v>
      </c>
      <c r="C106" s="8">
        <v>3</v>
      </c>
      <c r="D106" s="8">
        <v>147</v>
      </c>
      <c r="E106" s="8" t="s">
        <v>951</v>
      </c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12"/>
      <c r="AW106" s="12"/>
      <c r="AX106" s="12"/>
      <c r="AY106" s="12"/>
      <c r="AZ106" s="12"/>
      <c r="BA106" s="12"/>
      <c r="BB106" s="12"/>
      <c r="BC106" s="12"/>
      <c r="BD106" s="12"/>
      <c r="BE106" s="12"/>
      <c r="BF106" s="12"/>
      <c r="BG106" s="12"/>
      <c r="BH106" s="12"/>
      <c r="BI106" s="12"/>
      <c r="BJ106" s="12"/>
      <c r="BK106" s="12"/>
      <c r="BL106" s="12"/>
      <c r="BM106" s="12"/>
      <c r="BN106" s="12"/>
      <c r="BO106" s="12"/>
      <c r="BP106" s="12"/>
      <c r="BQ106" s="12"/>
      <c r="BR106" s="12"/>
      <c r="BS106" s="12"/>
      <c r="BT106" s="12"/>
      <c r="BU106" s="12"/>
      <c r="BV106" s="12"/>
      <c r="BW106" s="12"/>
      <c r="BX106" s="12"/>
      <c r="BY106" s="12"/>
      <c r="BZ106" s="12"/>
      <c r="CA106" s="12"/>
    </row>
    <row r="107" spans="1:79" x14ac:dyDescent="0.3">
      <c r="A107" s="8">
        <v>2</v>
      </c>
      <c r="B107" s="8" t="s">
        <v>953</v>
      </c>
      <c r="C107" s="8">
        <v>4</v>
      </c>
      <c r="D107" s="8">
        <v>148</v>
      </c>
      <c r="E107" s="8" t="s">
        <v>950</v>
      </c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12"/>
      <c r="AW107" s="12"/>
      <c r="AX107" s="12"/>
      <c r="AY107" s="12"/>
      <c r="AZ107" s="12"/>
      <c r="BA107" s="12"/>
      <c r="BB107" s="12"/>
      <c r="BC107" s="12"/>
      <c r="BD107" s="12"/>
      <c r="BE107" s="12"/>
      <c r="BF107" s="12"/>
      <c r="BG107" s="12"/>
      <c r="BH107" s="12"/>
      <c r="BI107" s="12"/>
      <c r="BJ107" s="12"/>
      <c r="BK107" s="12"/>
      <c r="BL107" s="12"/>
      <c r="BM107" s="12"/>
      <c r="BN107" s="12"/>
      <c r="BO107" s="12"/>
      <c r="BP107" s="12"/>
      <c r="BQ107" s="12"/>
      <c r="BR107" s="12"/>
      <c r="BS107" s="12"/>
      <c r="BT107" s="12"/>
      <c r="BU107" s="12"/>
      <c r="BV107" s="12"/>
      <c r="BW107" s="12"/>
      <c r="BX107" s="12"/>
      <c r="BY107" s="12"/>
      <c r="BZ107" s="12"/>
      <c r="CA107" s="12"/>
    </row>
    <row r="108" spans="1:79" x14ac:dyDescent="0.3">
      <c r="A108" s="8">
        <v>2</v>
      </c>
      <c r="B108" s="8" t="s">
        <v>953</v>
      </c>
      <c r="C108" s="8">
        <v>4</v>
      </c>
      <c r="D108" s="8">
        <v>149</v>
      </c>
      <c r="E108" s="8" t="s">
        <v>950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12"/>
      <c r="AW108" s="12"/>
      <c r="AX108" s="12"/>
      <c r="AY108" s="12"/>
      <c r="AZ108" s="12"/>
      <c r="BA108" s="12"/>
      <c r="BB108" s="12"/>
      <c r="BC108" s="12"/>
      <c r="BD108" s="12"/>
      <c r="BE108" s="12"/>
      <c r="BF108" s="12"/>
      <c r="BG108" s="12"/>
      <c r="BH108" s="12"/>
      <c r="BI108" s="12"/>
      <c r="BJ108" s="12"/>
      <c r="BK108" s="12"/>
      <c r="BL108" s="12"/>
      <c r="BM108" s="12"/>
      <c r="BN108" s="12"/>
      <c r="BO108" s="12"/>
      <c r="BP108" s="12"/>
      <c r="BQ108" s="12"/>
      <c r="BR108" s="12"/>
      <c r="BS108" s="12"/>
      <c r="BT108" s="12"/>
      <c r="BU108" s="12"/>
      <c r="BV108" s="12"/>
      <c r="BW108" s="12"/>
      <c r="BX108" s="12"/>
      <c r="BY108" s="12"/>
      <c r="BZ108" s="12"/>
      <c r="CA108" s="12"/>
    </row>
    <row r="109" spans="1:79" x14ac:dyDescent="0.3">
      <c r="A109" s="8">
        <v>2</v>
      </c>
      <c r="B109" s="8" t="s">
        <v>953</v>
      </c>
      <c r="C109" s="8">
        <v>4</v>
      </c>
      <c r="D109" s="8">
        <v>150</v>
      </c>
      <c r="E109" s="8" t="s">
        <v>951</v>
      </c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12"/>
      <c r="AW109" s="12"/>
      <c r="AX109" s="12"/>
      <c r="AY109" s="12"/>
      <c r="AZ109" s="12"/>
      <c r="BA109" s="12"/>
      <c r="BB109" s="12"/>
      <c r="BC109" s="12"/>
      <c r="BD109" s="12"/>
      <c r="BE109" s="12"/>
      <c r="BF109" s="12"/>
      <c r="BG109" s="12"/>
      <c r="BH109" s="12"/>
      <c r="BI109" s="12"/>
      <c r="BJ109" s="12"/>
      <c r="BK109" s="12"/>
      <c r="BL109" s="12"/>
      <c r="BM109" s="12"/>
      <c r="BN109" s="12"/>
      <c r="BO109" s="12"/>
      <c r="BP109" s="12"/>
      <c r="BQ109" s="12"/>
      <c r="BR109" s="12"/>
      <c r="BS109" s="12"/>
      <c r="BT109" s="12"/>
      <c r="BU109" s="12"/>
      <c r="BV109" s="12"/>
      <c r="BW109" s="12"/>
      <c r="BX109" s="12"/>
      <c r="BY109" s="12"/>
      <c r="BZ109" s="12"/>
      <c r="CA109" s="12"/>
    </row>
    <row r="110" spans="1:79" x14ac:dyDescent="0.3">
      <c r="A110" s="8">
        <v>2</v>
      </c>
      <c r="B110" s="8" t="s">
        <v>953</v>
      </c>
      <c r="C110" s="8">
        <v>4</v>
      </c>
      <c r="D110" s="8">
        <v>151</v>
      </c>
      <c r="E110" s="8" t="s">
        <v>950</v>
      </c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12"/>
      <c r="AW110" s="12"/>
      <c r="AX110" s="12"/>
      <c r="AY110" s="12"/>
      <c r="AZ110" s="12"/>
      <c r="BA110" s="12"/>
      <c r="BB110" s="12"/>
      <c r="BC110" s="12"/>
      <c r="BD110" s="12"/>
      <c r="BE110" s="12"/>
      <c r="BF110" s="12"/>
      <c r="BG110" s="12"/>
      <c r="BH110" s="12"/>
      <c r="BI110" s="12"/>
      <c r="BJ110" s="12"/>
      <c r="BK110" s="12"/>
      <c r="BL110" s="12"/>
      <c r="BM110" s="12"/>
      <c r="BN110" s="12"/>
      <c r="BO110" s="12"/>
      <c r="BP110" s="12"/>
      <c r="BQ110" s="12"/>
      <c r="BR110" s="12"/>
      <c r="BS110" s="12"/>
      <c r="BT110" s="12"/>
      <c r="BU110" s="12"/>
      <c r="BV110" s="12"/>
      <c r="BW110" s="12"/>
      <c r="BX110" s="12"/>
      <c r="BY110" s="12"/>
      <c r="BZ110" s="12"/>
      <c r="CA110" s="12"/>
    </row>
    <row r="111" spans="1:79" x14ac:dyDescent="0.3">
      <c r="A111" s="8">
        <v>2</v>
      </c>
      <c r="B111" s="8" t="s">
        <v>953</v>
      </c>
      <c r="C111" s="8">
        <v>4</v>
      </c>
      <c r="D111" s="8">
        <v>152</v>
      </c>
      <c r="E111" s="8" t="s">
        <v>951</v>
      </c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12"/>
      <c r="AW111" s="12"/>
      <c r="AX111" s="12"/>
      <c r="AY111" s="12"/>
      <c r="AZ111" s="12"/>
      <c r="BA111" s="12"/>
      <c r="BB111" s="12"/>
      <c r="BC111" s="12"/>
      <c r="BD111" s="12"/>
      <c r="BE111" s="12"/>
      <c r="BF111" s="12"/>
      <c r="BG111" s="12"/>
      <c r="BH111" s="12"/>
      <c r="BI111" s="12"/>
      <c r="BJ111" s="12"/>
      <c r="BK111" s="12"/>
      <c r="BL111" s="12"/>
      <c r="BM111" s="12"/>
      <c r="BN111" s="12"/>
      <c r="BO111" s="12"/>
      <c r="BP111" s="12"/>
      <c r="BQ111" s="12"/>
      <c r="BR111" s="12"/>
      <c r="BS111" s="12"/>
      <c r="BT111" s="12"/>
      <c r="BU111" s="12"/>
      <c r="BV111" s="12"/>
      <c r="BW111" s="12"/>
      <c r="BX111" s="12"/>
      <c r="BY111" s="12"/>
      <c r="BZ111" s="12"/>
      <c r="CA111" s="12"/>
    </row>
    <row r="112" spans="1:79" x14ac:dyDescent="0.3">
      <c r="A112" s="8">
        <v>2</v>
      </c>
      <c r="B112" s="8" t="s">
        <v>953</v>
      </c>
      <c r="C112" s="8">
        <v>4</v>
      </c>
      <c r="D112" s="8">
        <v>153</v>
      </c>
      <c r="E112" s="8" t="s">
        <v>951</v>
      </c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12"/>
      <c r="AW112" s="12"/>
      <c r="AX112" s="12"/>
      <c r="AY112" s="12"/>
      <c r="AZ112" s="12"/>
      <c r="BA112" s="12"/>
      <c r="BB112" s="12"/>
      <c r="BC112" s="12"/>
      <c r="BD112" s="12"/>
      <c r="BE112" s="12"/>
      <c r="BF112" s="12"/>
      <c r="BG112" s="12"/>
      <c r="BH112" s="12"/>
      <c r="BI112" s="12"/>
      <c r="BJ112" s="12"/>
      <c r="BK112" s="12"/>
      <c r="BL112" s="12"/>
      <c r="BM112" s="12"/>
      <c r="BN112" s="12"/>
      <c r="BO112" s="12"/>
      <c r="BP112" s="12"/>
      <c r="BQ112" s="12"/>
      <c r="BR112" s="12"/>
      <c r="BS112" s="12"/>
      <c r="BT112" s="12"/>
      <c r="BU112" s="12"/>
      <c r="BV112" s="12"/>
      <c r="BW112" s="12"/>
      <c r="BX112" s="12"/>
      <c r="BY112" s="12"/>
      <c r="BZ112" s="12"/>
      <c r="CA112" s="12"/>
    </row>
    <row r="113" spans="1:79" x14ac:dyDescent="0.3">
      <c r="A113" s="8">
        <v>2</v>
      </c>
      <c r="B113" s="8" t="s">
        <v>953</v>
      </c>
      <c r="C113" s="8">
        <v>4</v>
      </c>
      <c r="D113" s="8">
        <v>154</v>
      </c>
      <c r="E113" s="8" t="s">
        <v>950</v>
      </c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12"/>
      <c r="AW113" s="12"/>
      <c r="AX113" s="12"/>
      <c r="AY113" s="12"/>
      <c r="AZ113" s="12"/>
      <c r="BA113" s="12"/>
      <c r="BB113" s="12"/>
      <c r="BC113" s="12"/>
      <c r="BD113" s="12"/>
      <c r="BE113" s="12"/>
      <c r="BF113" s="12"/>
      <c r="BG113" s="12"/>
      <c r="BH113" s="12"/>
      <c r="BI113" s="12"/>
      <c r="BJ113" s="12"/>
      <c r="BK113" s="12"/>
      <c r="BL113" s="12"/>
      <c r="BM113" s="12"/>
      <c r="BN113" s="12"/>
      <c r="BO113" s="12"/>
      <c r="BP113" s="12"/>
      <c r="BQ113" s="12"/>
      <c r="BR113" s="12"/>
      <c r="BS113" s="12"/>
      <c r="BT113" s="12"/>
      <c r="BU113" s="12"/>
      <c r="BV113" s="12"/>
      <c r="BW113" s="12"/>
      <c r="BX113" s="12"/>
      <c r="BY113" s="12"/>
      <c r="BZ113" s="12"/>
      <c r="CA113" s="12"/>
    </row>
    <row r="114" spans="1:79" x14ac:dyDescent="0.3">
      <c r="A114" s="8">
        <v>2</v>
      </c>
      <c r="B114" s="8" t="s">
        <v>953</v>
      </c>
      <c r="C114" s="8">
        <v>4</v>
      </c>
      <c r="D114" s="8">
        <v>155</v>
      </c>
      <c r="E114" s="8" t="s">
        <v>951</v>
      </c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12"/>
      <c r="AW114" s="12"/>
      <c r="AX114" s="12"/>
      <c r="AY114" s="12"/>
      <c r="AZ114" s="12"/>
      <c r="BA114" s="12"/>
      <c r="BB114" s="12"/>
      <c r="BC114" s="12"/>
      <c r="BD114" s="12"/>
      <c r="BE114" s="12"/>
      <c r="BF114" s="12"/>
      <c r="BG114" s="12"/>
      <c r="BH114" s="12"/>
      <c r="BI114" s="12"/>
      <c r="BJ114" s="12"/>
      <c r="BK114" s="12"/>
      <c r="BL114" s="12"/>
      <c r="BM114" s="12"/>
      <c r="BN114" s="12"/>
      <c r="BO114" s="12"/>
      <c r="BP114" s="12"/>
      <c r="BQ114" s="12"/>
      <c r="BR114" s="12"/>
      <c r="BS114" s="12"/>
      <c r="BT114" s="12"/>
      <c r="BU114" s="12"/>
      <c r="BV114" s="12"/>
      <c r="BW114" s="12"/>
      <c r="BX114" s="12"/>
      <c r="BY114" s="12"/>
      <c r="BZ114" s="12"/>
      <c r="CA114" s="12"/>
    </row>
    <row r="115" spans="1:79" x14ac:dyDescent="0.3">
      <c r="A115" s="8">
        <v>2</v>
      </c>
      <c r="B115" s="8" t="s">
        <v>953</v>
      </c>
      <c r="C115" s="8">
        <v>4</v>
      </c>
      <c r="D115" s="8">
        <v>156</v>
      </c>
      <c r="E115" s="8" t="s">
        <v>950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12"/>
      <c r="AW115" s="12"/>
      <c r="AX115" s="12"/>
      <c r="AY115" s="12"/>
      <c r="AZ115" s="12"/>
      <c r="BA115" s="12"/>
      <c r="BB115" s="12"/>
      <c r="BC115" s="12"/>
      <c r="BD115" s="12"/>
      <c r="BE115" s="12"/>
      <c r="BF115" s="12"/>
      <c r="BG115" s="12"/>
      <c r="BH115" s="12"/>
      <c r="BI115" s="12"/>
      <c r="BJ115" s="12"/>
      <c r="BK115" s="12"/>
      <c r="BL115" s="12"/>
      <c r="BM115" s="12"/>
      <c r="BN115" s="12"/>
      <c r="BO115" s="12"/>
      <c r="BP115" s="12"/>
      <c r="BQ115" s="12"/>
      <c r="BR115" s="12"/>
      <c r="BS115" s="12"/>
      <c r="BT115" s="12"/>
      <c r="BU115" s="12"/>
      <c r="BV115" s="12"/>
      <c r="BW115" s="12"/>
      <c r="BX115" s="12"/>
      <c r="BY115" s="12"/>
      <c r="BZ115" s="12"/>
      <c r="CA115" s="12"/>
    </row>
    <row r="116" spans="1:79" x14ac:dyDescent="0.3">
      <c r="A116" s="8">
        <v>2</v>
      </c>
      <c r="B116" s="8" t="s">
        <v>953</v>
      </c>
      <c r="C116" s="8">
        <v>4</v>
      </c>
      <c r="D116" s="8">
        <v>157</v>
      </c>
      <c r="E116" s="8" t="s">
        <v>950</v>
      </c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12"/>
      <c r="AW116" s="12"/>
      <c r="AX116" s="12"/>
      <c r="AY116" s="12"/>
      <c r="AZ116" s="12"/>
      <c r="BA116" s="12"/>
      <c r="BB116" s="12"/>
      <c r="BC116" s="12"/>
      <c r="BD116" s="12"/>
      <c r="BE116" s="12"/>
      <c r="BF116" s="12"/>
      <c r="BG116" s="12"/>
      <c r="BH116" s="12"/>
      <c r="BI116" s="12"/>
      <c r="BJ116" s="12"/>
      <c r="BK116" s="12"/>
      <c r="BL116" s="12"/>
      <c r="BM116" s="12"/>
      <c r="BN116" s="12"/>
      <c r="BO116" s="12"/>
      <c r="BP116" s="12"/>
      <c r="BQ116" s="12"/>
      <c r="BR116" s="12"/>
      <c r="BS116" s="12"/>
      <c r="BT116" s="12"/>
      <c r="BU116" s="12"/>
      <c r="BV116" s="12"/>
      <c r="BW116" s="12"/>
      <c r="BX116" s="12"/>
      <c r="BY116" s="12"/>
      <c r="BZ116" s="12"/>
      <c r="CA116" s="12"/>
    </row>
    <row r="117" spans="1:79" x14ac:dyDescent="0.3">
      <c r="A117" s="8">
        <v>2</v>
      </c>
      <c r="B117" s="8" t="s">
        <v>953</v>
      </c>
      <c r="C117" s="8">
        <v>4</v>
      </c>
      <c r="D117" s="8">
        <v>158</v>
      </c>
      <c r="E117" s="8" t="s">
        <v>951</v>
      </c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12"/>
      <c r="AW117" s="12"/>
      <c r="AX117" s="12"/>
      <c r="AY117" s="12"/>
      <c r="AZ117" s="12"/>
      <c r="BA117" s="12"/>
      <c r="BB117" s="12"/>
      <c r="BC117" s="12"/>
      <c r="BD117" s="12"/>
      <c r="BE117" s="12"/>
      <c r="BF117" s="12"/>
      <c r="BG117" s="12"/>
      <c r="BH117" s="12"/>
      <c r="BI117" s="12"/>
      <c r="BJ117" s="12"/>
      <c r="BK117" s="12"/>
      <c r="BL117" s="12"/>
      <c r="BM117" s="12"/>
      <c r="BN117" s="12"/>
      <c r="BO117" s="12"/>
      <c r="BP117" s="12"/>
      <c r="BQ117" s="12"/>
      <c r="BR117" s="12"/>
      <c r="BS117" s="12"/>
      <c r="BT117" s="12"/>
      <c r="BU117" s="12"/>
      <c r="BV117" s="12"/>
      <c r="BW117" s="12"/>
      <c r="BX117" s="12"/>
      <c r="BY117" s="12"/>
      <c r="BZ117" s="12"/>
      <c r="CA117" s="12"/>
    </row>
    <row r="118" spans="1:79" x14ac:dyDescent="0.3">
      <c r="A118" s="8">
        <v>2</v>
      </c>
      <c r="B118" s="8" t="s">
        <v>953</v>
      </c>
      <c r="C118" s="8">
        <v>4</v>
      </c>
      <c r="D118" s="8">
        <v>159</v>
      </c>
      <c r="E118" s="8" t="s">
        <v>950</v>
      </c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12"/>
      <c r="AW118" s="12"/>
      <c r="AX118" s="12"/>
      <c r="AY118" s="12"/>
      <c r="AZ118" s="12"/>
      <c r="BA118" s="12"/>
      <c r="BB118" s="12"/>
      <c r="BC118" s="12"/>
      <c r="BD118" s="12"/>
      <c r="BE118" s="12"/>
      <c r="BF118" s="12"/>
      <c r="BG118" s="12"/>
      <c r="BH118" s="12"/>
      <c r="BI118" s="12"/>
      <c r="BJ118" s="12"/>
      <c r="BK118" s="12"/>
      <c r="BL118" s="12"/>
      <c r="BM118" s="12"/>
      <c r="BN118" s="12"/>
      <c r="BO118" s="12"/>
      <c r="BP118" s="12"/>
      <c r="BQ118" s="12"/>
      <c r="BR118" s="12"/>
      <c r="BS118" s="12"/>
      <c r="BT118" s="12"/>
      <c r="BU118" s="12"/>
      <c r="BV118" s="12"/>
      <c r="BW118" s="12"/>
      <c r="BX118" s="12"/>
      <c r="BY118" s="12"/>
      <c r="BZ118" s="12"/>
      <c r="CA118" s="12"/>
    </row>
    <row r="119" spans="1:79" x14ac:dyDescent="0.3">
      <c r="A119" s="8">
        <v>2</v>
      </c>
      <c r="B119" s="8" t="s">
        <v>953</v>
      </c>
      <c r="C119" s="8">
        <v>4</v>
      </c>
      <c r="D119" s="8">
        <v>160</v>
      </c>
      <c r="E119" s="8" t="s">
        <v>951</v>
      </c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12"/>
      <c r="AW119" s="12"/>
      <c r="AX119" s="12"/>
      <c r="AY119" s="12"/>
      <c r="AZ119" s="12"/>
      <c r="BA119" s="12"/>
      <c r="BB119" s="12"/>
      <c r="BC119" s="12"/>
      <c r="BD119" s="12"/>
      <c r="BE119" s="12"/>
      <c r="BF119" s="12"/>
      <c r="BG119" s="12"/>
      <c r="BH119" s="12"/>
      <c r="BI119" s="12"/>
      <c r="BJ119" s="12"/>
      <c r="BK119" s="12"/>
      <c r="BL119" s="12"/>
      <c r="BM119" s="12"/>
      <c r="BN119" s="12"/>
      <c r="BO119" s="12"/>
      <c r="BP119" s="12"/>
      <c r="BQ119" s="12"/>
      <c r="BR119" s="12"/>
      <c r="BS119" s="12"/>
      <c r="BT119" s="12"/>
      <c r="BU119" s="12"/>
      <c r="BV119" s="12"/>
      <c r="BW119" s="12"/>
      <c r="BX119" s="12"/>
      <c r="BY119" s="12"/>
      <c r="BZ119" s="12"/>
      <c r="CA119" s="12"/>
    </row>
    <row r="120" spans="1:79" x14ac:dyDescent="0.3">
      <c r="A120" s="8">
        <v>2</v>
      </c>
      <c r="B120" s="8" t="s">
        <v>953</v>
      </c>
      <c r="C120" s="8">
        <v>4</v>
      </c>
      <c r="D120" s="8">
        <v>161</v>
      </c>
      <c r="E120" s="8" t="s">
        <v>950</v>
      </c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12"/>
      <c r="AW120" s="12"/>
      <c r="AX120" s="12"/>
      <c r="AY120" s="12"/>
      <c r="AZ120" s="12"/>
      <c r="BA120" s="12"/>
      <c r="BB120" s="12"/>
      <c r="BC120" s="12"/>
      <c r="BD120" s="12"/>
      <c r="BE120" s="12"/>
      <c r="BF120" s="12"/>
      <c r="BG120" s="12"/>
      <c r="BH120" s="12"/>
      <c r="BI120" s="12"/>
      <c r="BJ120" s="12"/>
      <c r="BK120" s="12"/>
      <c r="BL120" s="12"/>
      <c r="BM120" s="12"/>
      <c r="BN120" s="12"/>
      <c r="BO120" s="12"/>
      <c r="BP120" s="12"/>
      <c r="BQ120" s="12"/>
      <c r="BR120" s="12"/>
      <c r="BS120" s="12"/>
      <c r="BT120" s="12"/>
      <c r="BU120" s="12"/>
      <c r="BV120" s="12"/>
      <c r="BW120" s="12"/>
      <c r="BX120" s="12"/>
      <c r="BY120" s="12"/>
      <c r="BZ120" s="12"/>
      <c r="CA120" s="12"/>
    </row>
    <row r="121" spans="1:79" x14ac:dyDescent="0.3">
      <c r="A121" s="8">
        <v>2</v>
      </c>
      <c r="B121" s="8" t="s">
        <v>953</v>
      </c>
      <c r="C121" s="8">
        <v>4</v>
      </c>
      <c r="D121" s="8">
        <v>162</v>
      </c>
      <c r="E121" s="8" t="s">
        <v>950</v>
      </c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12"/>
      <c r="AW121" s="12"/>
      <c r="AX121" s="12"/>
      <c r="AY121" s="12"/>
      <c r="AZ121" s="12"/>
      <c r="BA121" s="12"/>
      <c r="BB121" s="12"/>
      <c r="BC121" s="12"/>
      <c r="BD121" s="12"/>
      <c r="BE121" s="12"/>
      <c r="BF121" s="12"/>
      <c r="BG121" s="12"/>
      <c r="BH121" s="12"/>
      <c r="BI121" s="12"/>
      <c r="BJ121" s="12"/>
      <c r="BK121" s="12"/>
      <c r="BL121" s="12"/>
      <c r="BM121" s="12"/>
      <c r="BN121" s="12"/>
      <c r="BO121" s="12"/>
      <c r="BP121" s="12"/>
      <c r="BQ121" s="12"/>
      <c r="BR121" s="12"/>
      <c r="BS121" s="12"/>
      <c r="BT121" s="12"/>
      <c r="BU121" s="12"/>
      <c r="BV121" s="12"/>
      <c r="BW121" s="12"/>
      <c r="BX121" s="12"/>
      <c r="BY121" s="12"/>
      <c r="BZ121" s="12"/>
      <c r="CA121" s="12"/>
    </row>
    <row r="122" spans="1:79" x14ac:dyDescent="0.3">
      <c r="A122" s="8">
        <v>2</v>
      </c>
      <c r="B122" s="8" t="s">
        <v>953</v>
      </c>
      <c r="C122" s="8">
        <v>4</v>
      </c>
      <c r="D122" s="8">
        <v>163</v>
      </c>
      <c r="E122" s="8" t="s">
        <v>951</v>
      </c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12"/>
      <c r="AW122" s="12"/>
      <c r="AX122" s="12"/>
      <c r="AY122" s="12"/>
      <c r="AZ122" s="12"/>
      <c r="BA122" s="12"/>
      <c r="BB122" s="12"/>
      <c r="BC122" s="12"/>
      <c r="BD122" s="12"/>
      <c r="BE122" s="12"/>
      <c r="BF122" s="12"/>
      <c r="BG122" s="12"/>
      <c r="BH122" s="12"/>
      <c r="BI122" s="12"/>
      <c r="BJ122" s="12"/>
      <c r="BK122" s="12"/>
      <c r="BL122" s="12"/>
      <c r="BM122" s="12"/>
      <c r="BN122" s="12"/>
      <c r="BO122" s="12"/>
      <c r="BP122" s="12"/>
      <c r="BQ122" s="12"/>
      <c r="BR122" s="12"/>
      <c r="BS122" s="12"/>
      <c r="BT122" s="12"/>
      <c r="BU122" s="12"/>
      <c r="BV122" s="12"/>
      <c r="BW122" s="12"/>
      <c r="BX122" s="12"/>
      <c r="BY122" s="12"/>
      <c r="BZ122" s="12"/>
      <c r="CA122" s="12"/>
    </row>
    <row r="123" spans="1:79" x14ac:dyDescent="0.3">
      <c r="A123" s="8">
        <v>2</v>
      </c>
      <c r="B123" s="8" t="s">
        <v>953</v>
      </c>
      <c r="C123" s="8">
        <v>4</v>
      </c>
      <c r="D123" s="8">
        <v>164</v>
      </c>
      <c r="E123" s="8" t="s">
        <v>950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12"/>
      <c r="AW123" s="12"/>
      <c r="AX123" s="12"/>
      <c r="AY123" s="12"/>
      <c r="AZ123" s="12"/>
      <c r="BA123" s="12"/>
      <c r="BB123" s="12"/>
      <c r="BC123" s="12"/>
      <c r="BD123" s="12"/>
      <c r="BE123" s="12"/>
      <c r="BF123" s="12"/>
      <c r="BG123" s="12"/>
      <c r="BH123" s="12"/>
      <c r="BI123" s="12"/>
      <c r="BJ123" s="12"/>
      <c r="BK123" s="12"/>
      <c r="BL123" s="12"/>
      <c r="BM123" s="12"/>
      <c r="BN123" s="12"/>
      <c r="BO123" s="12"/>
      <c r="BP123" s="12"/>
      <c r="BQ123" s="12"/>
      <c r="BR123" s="12"/>
      <c r="BS123" s="12"/>
      <c r="BT123" s="12"/>
      <c r="BU123" s="12"/>
      <c r="BV123" s="12"/>
      <c r="BW123" s="12"/>
      <c r="BX123" s="12"/>
      <c r="BY123" s="12"/>
      <c r="BZ123" s="12"/>
      <c r="CA123" s="12"/>
    </row>
    <row r="124" spans="1:79" x14ac:dyDescent="0.3">
      <c r="A124" s="8">
        <v>2</v>
      </c>
      <c r="B124" s="8" t="s">
        <v>953</v>
      </c>
      <c r="C124" s="8">
        <v>4</v>
      </c>
      <c r="D124" s="8">
        <v>165</v>
      </c>
      <c r="E124" s="8" t="s">
        <v>951</v>
      </c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12"/>
      <c r="AW124" s="12"/>
      <c r="AX124" s="12"/>
      <c r="AY124" s="12"/>
      <c r="AZ124" s="12"/>
      <c r="BA124" s="12"/>
      <c r="BB124" s="12"/>
      <c r="BC124" s="12"/>
      <c r="BD124" s="12"/>
      <c r="BE124" s="12"/>
      <c r="BF124" s="12"/>
      <c r="BG124" s="12"/>
      <c r="BH124" s="12"/>
      <c r="BI124" s="12"/>
      <c r="BJ124" s="12"/>
      <c r="BK124" s="12"/>
      <c r="BL124" s="12"/>
      <c r="BM124" s="12"/>
      <c r="BN124" s="12"/>
      <c r="BO124" s="12"/>
      <c r="BP124" s="12"/>
      <c r="BQ124" s="12"/>
      <c r="BR124" s="12"/>
      <c r="BS124" s="12"/>
      <c r="BT124" s="12"/>
      <c r="BU124" s="12"/>
      <c r="BV124" s="12"/>
      <c r="BW124" s="12"/>
      <c r="BX124" s="12"/>
      <c r="BY124" s="12"/>
      <c r="BZ124" s="12"/>
      <c r="CA124" s="12"/>
    </row>
    <row r="125" spans="1:79" x14ac:dyDescent="0.3">
      <c r="A125" s="8">
        <v>2</v>
      </c>
      <c r="B125" s="8" t="s">
        <v>953</v>
      </c>
      <c r="C125" s="8">
        <v>4</v>
      </c>
      <c r="D125" s="8">
        <v>166</v>
      </c>
      <c r="E125" s="8" t="s">
        <v>951</v>
      </c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12"/>
      <c r="AW125" s="12"/>
      <c r="AX125" s="12"/>
      <c r="AY125" s="12"/>
      <c r="AZ125" s="12"/>
      <c r="BA125" s="12"/>
      <c r="BB125" s="12"/>
      <c r="BC125" s="12"/>
      <c r="BD125" s="12"/>
      <c r="BE125" s="12"/>
      <c r="BF125" s="12"/>
      <c r="BG125" s="12"/>
      <c r="BH125" s="12"/>
      <c r="BI125" s="12"/>
      <c r="BJ125" s="12"/>
      <c r="BK125" s="12"/>
      <c r="BL125" s="12"/>
      <c r="BM125" s="12"/>
      <c r="BN125" s="12"/>
      <c r="BO125" s="12"/>
      <c r="BP125" s="12"/>
      <c r="BQ125" s="12"/>
      <c r="BR125" s="12"/>
      <c r="BS125" s="12"/>
      <c r="BT125" s="12"/>
      <c r="BU125" s="12"/>
      <c r="BV125" s="12"/>
      <c r="BW125" s="12"/>
      <c r="BX125" s="12"/>
      <c r="BY125" s="12"/>
      <c r="BZ125" s="12"/>
      <c r="CA125" s="12"/>
    </row>
    <row r="126" spans="1:79" x14ac:dyDescent="0.3">
      <c r="A126" s="8">
        <v>3</v>
      </c>
      <c r="B126" s="8" t="s">
        <v>953</v>
      </c>
      <c r="C126" s="8">
        <v>4</v>
      </c>
      <c r="D126" s="8">
        <v>167</v>
      </c>
      <c r="E126" s="8" t="s">
        <v>951</v>
      </c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12"/>
      <c r="AW126" s="12"/>
      <c r="AX126" s="12"/>
      <c r="AY126" s="12"/>
      <c r="AZ126" s="12"/>
      <c r="BA126" s="12"/>
      <c r="BB126" s="12"/>
      <c r="BC126" s="12"/>
      <c r="BD126" s="12"/>
      <c r="BE126" s="12"/>
      <c r="BF126" s="12"/>
      <c r="BG126" s="12"/>
      <c r="BH126" s="12"/>
      <c r="BI126" s="12"/>
      <c r="BJ126" s="12"/>
      <c r="BK126" s="12"/>
      <c r="BL126" s="12"/>
      <c r="BM126" s="12"/>
      <c r="BN126" s="12"/>
      <c r="BO126" s="12"/>
      <c r="BP126" s="12"/>
      <c r="BQ126" s="12"/>
      <c r="BR126" s="12"/>
      <c r="BS126" s="12"/>
      <c r="BT126" s="12"/>
      <c r="BU126" s="12"/>
      <c r="BV126" s="12"/>
      <c r="BW126" s="12"/>
      <c r="BX126" s="12"/>
      <c r="BY126" s="12"/>
      <c r="BZ126" s="12"/>
      <c r="CA126" s="12"/>
    </row>
    <row r="127" spans="1:79" x14ac:dyDescent="0.3">
      <c r="A127" s="8">
        <v>3</v>
      </c>
      <c r="B127" s="8" t="s">
        <v>953</v>
      </c>
      <c r="C127" s="8">
        <v>4</v>
      </c>
      <c r="D127" s="8">
        <v>168</v>
      </c>
      <c r="E127" s="8" t="s">
        <v>950</v>
      </c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12"/>
      <c r="AW127" s="12"/>
      <c r="AX127" s="12"/>
      <c r="AY127" s="12"/>
      <c r="AZ127" s="12"/>
      <c r="BA127" s="12"/>
      <c r="BB127" s="12"/>
      <c r="BC127" s="12"/>
      <c r="BD127" s="12"/>
      <c r="BE127" s="12"/>
      <c r="BF127" s="12"/>
      <c r="BG127" s="12"/>
      <c r="BH127" s="12"/>
      <c r="BI127" s="12"/>
      <c r="BJ127" s="12"/>
      <c r="BK127" s="12"/>
      <c r="BL127" s="12"/>
      <c r="BM127" s="12"/>
      <c r="BN127" s="12"/>
      <c r="BO127" s="12"/>
      <c r="BP127" s="12"/>
      <c r="BQ127" s="12"/>
      <c r="BR127" s="12"/>
      <c r="BS127" s="12"/>
      <c r="BT127" s="12"/>
      <c r="BU127" s="12"/>
      <c r="BV127" s="12"/>
      <c r="BW127" s="12"/>
      <c r="BX127" s="12"/>
      <c r="BY127" s="12"/>
      <c r="BZ127" s="12"/>
      <c r="CA127" s="12"/>
    </row>
    <row r="128" spans="1:79" x14ac:dyDescent="0.3">
      <c r="A128" s="8">
        <v>3</v>
      </c>
      <c r="B128" s="8" t="s">
        <v>953</v>
      </c>
      <c r="C128" s="8">
        <v>3</v>
      </c>
      <c r="D128" s="8">
        <v>169</v>
      </c>
      <c r="E128" s="8" t="s">
        <v>951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12"/>
      <c r="AW128" s="12"/>
      <c r="AX128" s="12"/>
      <c r="AY128" s="12"/>
      <c r="AZ128" s="12"/>
      <c r="BA128" s="12"/>
      <c r="BB128" s="12"/>
      <c r="BC128" s="12"/>
      <c r="BD128" s="12"/>
      <c r="BE128" s="12"/>
      <c r="BF128" s="12"/>
      <c r="BG128" s="12"/>
      <c r="BH128" s="12"/>
      <c r="BI128" s="12"/>
      <c r="BJ128" s="12"/>
      <c r="BK128" s="12"/>
      <c r="BL128" s="12"/>
      <c r="BM128" s="12"/>
      <c r="BN128" s="12"/>
      <c r="BO128" s="12"/>
      <c r="BP128" s="12"/>
      <c r="BQ128" s="12"/>
      <c r="BR128" s="12"/>
      <c r="BS128" s="12"/>
      <c r="BT128" s="12"/>
      <c r="BU128" s="12"/>
      <c r="BV128" s="12"/>
      <c r="BW128" s="12"/>
      <c r="BX128" s="12"/>
      <c r="BY128" s="12"/>
      <c r="BZ128" s="12"/>
      <c r="CA128" s="12"/>
    </row>
    <row r="129" spans="1:79" x14ac:dyDescent="0.3">
      <c r="A129" s="8">
        <v>3</v>
      </c>
      <c r="B129" s="8" t="s">
        <v>953</v>
      </c>
      <c r="C129" s="8">
        <v>3</v>
      </c>
      <c r="D129" s="8">
        <v>170</v>
      </c>
      <c r="E129" s="8" t="s">
        <v>951</v>
      </c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12"/>
      <c r="AW129" s="12"/>
      <c r="AX129" s="12"/>
      <c r="AY129" s="12"/>
      <c r="AZ129" s="12"/>
      <c r="BA129" s="12"/>
      <c r="BB129" s="12"/>
      <c r="BC129" s="12"/>
      <c r="BD129" s="12"/>
      <c r="BE129" s="12"/>
      <c r="BF129" s="12"/>
      <c r="BG129" s="12"/>
      <c r="BH129" s="12"/>
      <c r="BI129" s="12"/>
      <c r="BJ129" s="12"/>
      <c r="BK129" s="12"/>
      <c r="BL129" s="12"/>
      <c r="BM129" s="12"/>
      <c r="BN129" s="12"/>
      <c r="BO129" s="12"/>
      <c r="BP129" s="12"/>
      <c r="BQ129" s="12"/>
      <c r="BR129" s="12"/>
      <c r="BS129" s="12"/>
      <c r="BT129" s="12"/>
      <c r="BU129" s="12"/>
      <c r="BV129" s="12"/>
      <c r="BW129" s="12"/>
      <c r="BX129" s="12"/>
      <c r="BY129" s="12"/>
      <c r="BZ129" s="12"/>
      <c r="CA129" s="12"/>
    </row>
    <row r="130" spans="1:79" x14ac:dyDescent="0.3">
      <c r="A130" s="8">
        <v>3</v>
      </c>
      <c r="B130" s="8" t="s">
        <v>953</v>
      </c>
      <c r="C130" s="8">
        <v>3</v>
      </c>
      <c r="D130" s="8">
        <v>171</v>
      </c>
      <c r="E130" s="8" t="s">
        <v>950</v>
      </c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12"/>
      <c r="AW130" s="12"/>
      <c r="AX130" s="12"/>
      <c r="AY130" s="12"/>
      <c r="AZ130" s="12"/>
      <c r="BA130" s="12"/>
      <c r="BB130" s="12"/>
      <c r="BC130" s="12"/>
      <c r="BD130" s="12"/>
      <c r="BE130" s="12"/>
      <c r="BF130" s="12"/>
      <c r="BG130" s="12"/>
      <c r="BH130" s="12"/>
      <c r="BI130" s="12"/>
      <c r="BJ130" s="12"/>
      <c r="BK130" s="12"/>
      <c r="BL130" s="12"/>
      <c r="BM130" s="12"/>
      <c r="BN130" s="12"/>
      <c r="BO130" s="12"/>
      <c r="BP130" s="12"/>
      <c r="BQ130" s="12"/>
      <c r="BR130" s="12"/>
      <c r="BS130" s="12"/>
      <c r="BT130" s="12"/>
      <c r="BU130" s="12"/>
      <c r="BV130" s="12"/>
      <c r="BW130" s="12"/>
      <c r="BX130" s="12"/>
      <c r="BY130" s="12"/>
      <c r="BZ130" s="12"/>
      <c r="CA130" s="12"/>
    </row>
    <row r="131" spans="1:79" x14ac:dyDescent="0.3">
      <c r="A131" s="8">
        <v>3</v>
      </c>
      <c r="B131" s="8" t="s">
        <v>953</v>
      </c>
      <c r="C131" s="8">
        <v>3</v>
      </c>
      <c r="D131" s="8">
        <v>172</v>
      </c>
      <c r="E131" s="8" t="s">
        <v>951</v>
      </c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12"/>
      <c r="AW131" s="12"/>
      <c r="AX131" s="12"/>
      <c r="AY131" s="12"/>
      <c r="AZ131" s="12"/>
      <c r="BA131" s="12"/>
      <c r="BB131" s="12"/>
      <c r="BC131" s="12"/>
      <c r="BD131" s="12"/>
      <c r="BE131" s="12"/>
      <c r="BF131" s="12"/>
      <c r="BG131" s="12"/>
      <c r="BH131" s="12"/>
      <c r="BI131" s="12"/>
      <c r="BJ131" s="12"/>
      <c r="BK131" s="12"/>
      <c r="BL131" s="12"/>
      <c r="BM131" s="12"/>
      <c r="BN131" s="12"/>
      <c r="BO131" s="12"/>
      <c r="BP131" s="12"/>
      <c r="BQ131" s="12"/>
      <c r="BR131" s="12"/>
      <c r="BS131" s="12"/>
      <c r="BT131" s="12"/>
      <c r="BU131" s="12"/>
      <c r="BV131" s="12"/>
      <c r="BW131" s="12"/>
      <c r="BX131" s="12"/>
      <c r="BY131" s="12"/>
      <c r="BZ131" s="12"/>
      <c r="CA131" s="12"/>
    </row>
    <row r="132" spans="1:79" x14ac:dyDescent="0.3">
      <c r="A132" s="8">
        <v>3</v>
      </c>
      <c r="B132" s="8" t="s">
        <v>953</v>
      </c>
      <c r="C132" s="8">
        <v>3</v>
      </c>
      <c r="D132" s="8">
        <v>173</v>
      </c>
      <c r="E132" s="8" t="s">
        <v>951</v>
      </c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12"/>
      <c r="AW132" s="12"/>
      <c r="AX132" s="12"/>
      <c r="AY132" s="12"/>
      <c r="AZ132" s="12"/>
      <c r="BA132" s="12"/>
      <c r="BB132" s="12"/>
      <c r="BC132" s="12"/>
      <c r="BD132" s="12"/>
      <c r="BE132" s="12"/>
      <c r="BF132" s="12"/>
      <c r="BG132" s="12"/>
      <c r="BH132" s="12"/>
      <c r="BI132" s="12"/>
      <c r="BJ132" s="12"/>
      <c r="BK132" s="12"/>
      <c r="BL132" s="12"/>
      <c r="BM132" s="12"/>
      <c r="BN132" s="12"/>
      <c r="BO132" s="12"/>
      <c r="BP132" s="12"/>
      <c r="BQ132" s="12"/>
      <c r="BR132" s="12"/>
      <c r="BS132" s="12"/>
      <c r="BT132" s="12"/>
      <c r="BU132" s="12"/>
      <c r="BV132" s="12"/>
      <c r="BW132" s="12"/>
      <c r="BX132" s="12"/>
      <c r="BY132" s="12"/>
      <c r="BZ132" s="12"/>
      <c r="CA132" s="12"/>
    </row>
    <row r="133" spans="1:79" x14ac:dyDescent="0.3">
      <c r="A133" s="8">
        <v>3</v>
      </c>
      <c r="B133" s="8" t="s">
        <v>953</v>
      </c>
      <c r="C133" s="8">
        <v>3</v>
      </c>
      <c r="D133" s="8">
        <v>174</v>
      </c>
      <c r="E133" s="8" t="s">
        <v>950</v>
      </c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12"/>
      <c r="AW133" s="12"/>
      <c r="AX133" s="12"/>
      <c r="AY133" s="12"/>
      <c r="AZ133" s="12"/>
      <c r="BA133" s="12"/>
      <c r="BB133" s="12"/>
      <c r="BC133" s="12"/>
      <c r="BD133" s="12"/>
      <c r="BE133" s="12"/>
      <c r="BF133" s="12"/>
      <c r="BG133" s="12"/>
      <c r="BH133" s="12"/>
      <c r="BI133" s="12"/>
      <c r="BJ133" s="12"/>
      <c r="BK133" s="12"/>
      <c r="BL133" s="12"/>
      <c r="BM133" s="12"/>
      <c r="BN133" s="12"/>
      <c r="BO133" s="12"/>
      <c r="BP133" s="12"/>
      <c r="BQ133" s="12"/>
      <c r="BR133" s="12"/>
      <c r="BS133" s="12"/>
      <c r="BT133" s="12"/>
      <c r="BU133" s="12"/>
      <c r="BV133" s="12"/>
      <c r="BW133" s="12"/>
      <c r="BX133" s="12"/>
      <c r="BY133" s="12"/>
      <c r="BZ133" s="12"/>
      <c r="CA133" s="12"/>
    </row>
    <row r="134" spans="1:79" x14ac:dyDescent="0.3">
      <c r="A134" s="8">
        <v>3</v>
      </c>
      <c r="B134" s="8" t="s">
        <v>953</v>
      </c>
      <c r="C134" s="8">
        <v>3</v>
      </c>
      <c r="D134" s="8">
        <v>175</v>
      </c>
      <c r="E134" s="8" t="s">
        <v>950</v>
      </c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12"/>
      <c r="AW134" s="12"/>
      <c r="AX134" s="12"/>
      <c r="AY134" s="12"/>
      <c r="AZ134" s="12"/>
      <c r="BA134" s="12"/>
      <c r="BB134" s="12"/>
      <c r="BC134" s="12"/>
      <c r="BD134" s="12"/>
      <c r="BE134" s="12"/>
      <c r="BF134" s="12"/>
      <c r="BG134" s="12"/>
      <c r="BH134" s="12"/>
      <c r="BI134" s="12"/>
      <c r="BJ134" s="12"/>
      <c r="BK134" s="12"/>
      <c r="BL134" s="12"/>
      <c r="BM134" s="12"/>
      <c r="BN134" s="12"/>
      <c r="BO134" s="12"/>
      <c r="BP134" s="12"/>
      <c r="BQ134" s="12"/>
      <c r="BR134" s="12"/>
      <c r="BS134" s="12"/>
      <c r="BT134" s="12"/>
      <c r="BU134" s="12"/>
      <c r="BV134" s="12"/>
      <c r="BW134" s="12"/>
      <c r="BX134" s="12"/>
      <c r="BY134" s="12"/>
      <c r="BZ134" s="12"/>
      <c r="CA134" s="12"/>
    </row>
    <row r="135" spans="1:79" x14ac:dyDescent="0.3">
      <c r="A135" s="8">
        <v>3</v>
      </c>
      <c r="B135" s="8" t="s">
        <v>953</v>
      </c>
      <c r="C135" s="8">
        <v>3</v>
      </c>
      <c r="D135" s="8">
        <v>176</v>
      </c>
      <c r="E135" s="8" t="s">
        <v>950</v>
      </c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12"/>
      <c r="AW135" s="12"/>
      <c r="AX135" s="12"/>
      <c r="AY135" s="12"/>
      <c r="AZ135" s="12"/>
      <c r="BA135" s="12"/>
      <c r="BB135" s="12"/>
      <c r="BC135" s="12"/>
      <c r="BD135" s="12"/>
      <c r="BE135" s="12"/>
      <c r="BF135" s="12"/>
      <c r="BG135" s="12"/>
      <c r="BH135" s="12"/>
      <c r="BI135" s="12"/>
      <c r="BJ135" s="12"/>
      <c r="BK135" s="12"/>
      <c r="BL135" s="12"/>
      <c r="BM135" s="12"/>
      <c r="BN135" s="12"/>
      <c r="BO135" s="12"/>
      <c r="BP135" s="12"/>
      <c r="BQ135" s="12"/>
      <c r="BR135" s="12"/>
      <c r="BS135" s="12"/>
      <c r="BT135" s="12"/>
      <c r="BU135" s="12"/>
      <c r="BV135" s="12"/>
      <c r="BW135" s="12"/>
      <c r="BX135" s="12"/>
      <c r="BY135" s="12"/>
      <c r="BZ135" s="12"/>
      <c r="CA135" s="12"/>
    </row>
    <row r="136" spans="1:79" x14ac:dyDescent="0.3">
      <c r="A136" s="8">
        <v>3</v>
      </c>
      <c r="B136" s="8" t="s">
        <v>953</v>
      </c>
      <c r="C136" s="8">
        <v>3</v>
      </c>
      <c r="D136" s="8">
        <v>177</v>
      </c>
      <c r="E136" s="8" t="s">
        <v>950</v>
      </c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12"/>
      <c r="AW136" s="12"/>
      <c r="AX136" s="12"/>
      <c r="AY136" s="12"/>
      <c r="AZ136" s="12"/>
      <c r="BA136" s="12"/>
      <c r="BB136" s="12"/>
      <c r="BC136" s="12"/>
      <c r="BD136" s="12"/>
      <c r="BE136" s="12"/>
      <c r="BF136" s="12"/>
      <c r="BG136" s="12"/>
      <c r="BH136" s="12"/>
      <c r="BI136" s="12"/>
      <c r="BJ136" s="12"/>
      <c r="BK136" s="12"/>
      <c r="BL136" s="12"/>
      <c r="BM136" s="12"/>
      <c r="BN136" s="12"/>
      <c r="BO136" s="12"/>
      <c r="BP136" s="12"/>
      <c r="BQ136" s="12"/>
      <c r="BR136" s="12"/>
      <c r="BS136" s="12"/>
      <c r="BT136" s="12"/>
      <c r="BU136" s="12"/>
      <c r="BV136" s="12"/>
      <c r="BW136" s="12"/>
      <c r="BX136" s="12"/>
      <c r="BY136" s="12"/>
      <c r="BZ136" s="12"/>
      <c r="CA136" s="12"/>
    </row>
    <row r="137" spans="1:79" x14ac:dyDescent="0.3">
      <c r="A137" s="8">
        <v>3</v>
      </c>
      <c r="B137" s="8" t="s">
        <v>953</v>
      </c>
      <c r="C137" s="8">
        <v>3</v>
      </c>
      <c r="D137" s="8">
        <v>178</v>
      </c>
      <c r="E137" s="8" t="s">
        <v>951</v>
      </c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12"/>
      <c r="AW137" s="12"/>
      <c r="AX137" s="12"/>
      <c r="AY137" s="12"/>
      <c r="AZ137" s="12"/>
      <c r="BA137" s="12"/>
      <c r="BB137" s="12"/>
      <c r="BC137" s="12"/>
      <c r="BD137" s="12"/>
      <c r="BE137" s="12"/>
      <c r="BF137" s="12"/>
      <c r="BG137" s="12"/>
      <c r="BH137" s="12"/>
      <c r="BI137" s="12"/>
      <c r="BJ137" s="12"/>
      <c r="BK137" s="12"/>
      <c r="BL137" s="12"/>
      <c r="BM137" s="12"/>
      <c r="BN137" s="12"/>
      <c r="BO137" s="12"/>
      <c r="BP137" s="12"/>
      <c r="BQ137" s="12"/>
      <c r="BR137" s="12"/>
      <c r="BS137" s="12"/>
      <c r="BT137" s="12"/>
      <c r="BU137" s="12"/>
      <c r="BV137" s="12"/>
      <c r="BW137" s="12"/>
      <c r="BX137" s="12"/>
      <c r="BY137" s="12"/>
      <c r="BZ137" s="12"/>
      <c r="CA137" s="12"/>
    </row>
    <row r="138" spans="1:79" x14ac:dyDescent="0.3">
      <c r="A138" s="8">
        <v>3</v>
      </c>
      <c r="B138" s="8" t="s">
        <v>953</v>
      </c>
      <c r="C138" s="8">
        <v>3</v>
      </c>
      <c r="D138" s="8">
        <v>179</v>
      </c>
      <c r="E138" s="8" t="s">
        <v>950</v>
      </c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12"/>
      <c r="AW138" s="12"/>
      <c r="AX138" s="12"/>
      <c r="AY138" s="12"/>
      <c r="AZ138" s="12"/>
      <c r="BA138" s="12"/>
      <c r="BB138" s="12"/>
      <c r="BC138" s="12"/>
      <c r="BD138" s="12"/>
      <c r="BE138" s="12"/>
      <c r="BF138" s="12"/>
      <c r="BG138" s="12"/>
      <c r="BH138" s="12"/>
      <c r="BI138" s="12"/>
      <c r="BJ138" s="12"/>
      <c r="BK138" s="12"/>
      <c r="BL138" s="12"/>
      <c r="BM138" s="12"/>
      <c r="BN138" s="12"/>
      <c r="BO138" s="12"/>
      <c r="BP138" s="12"/>
      <c r="BQ138" s="12"/>
      <c r="BR138" s="12"/>
      <c r="BS138" s="12"/>
      <c r="BT138" s="12"/>
      <c r="BU138" s="12"/>
      <c r="BV138" s="12"/>
      <c r="BW138" s="12"/>
      <c r="BX138" s="12"/>
      <c r="BY138" s="12"/>
      <c r="BZ138" s="12"/>
      <c r="CA138" s="12"/>
    </row>
    <row r="139" spans="1:79" x14ac:dyDescent="0.3">
      <c r="A139" s="8">
        <v>3</v>
      </c>
      <c r="B139" s="8" t="s">
        <v>953</v>
      </c>
      <c r="C139" s="8">
        <v>3</v>
      </c>
      <c r="D139" s="8">
        <v>180</v>
      </c>
      <c r="E139" s="8" t="s">
        <v>950</v>
      </c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12"/>
      <c r="AW139" s="12"/>
      <c r="AX139" s="12"/>
      <c r="AY139" s="12"/>
      <c r="AZ139" s="12"/>
      <c r="BA139" s="12"/>
      <c r="BB139" s="12"/>
      <c r="BC139" s="12"/>
      <c r="BD139" s="12"/>
      <c r="BE139" s="12"/>
      <c r="BF139" s="12"/>
      <c r="BG139" s="12"/>
      <c r="BH139" s="12"/>
      <c r="BI139" s="12"/>
      <c r="BJ139" s="12"/>
      <c r="BK139" s="12"/>
      <c r="BL139" s="12"/>
      <c r="BM139" s="12"/>
      <c r="BN139" s="12"/>
      <c r="BO139" s="12"/>
      <c r="BP139" s="12"/>
      <c r="BQ139" s="12"/>
      <c r="BR139" s="12"/>
      <c r="BS139" s="12"/>
      <c r="BT139" s="12"/>
      <c r="BU139" s="12"/>
      <c r="BV139" s="12"/>
      <c r="BW139" s="12"/>
      <c r="BX139" s="12"/>
      <c r="BY139" s="12"/>
      <c r="BZ139" s="12"/>
      <c r="CA139" s="12"/>
    </row>
    <row r="140" spans="1:79" x14ac:dyDescent="0.3">
      <c r="A140" s="8">
        <v>3</v>
      </c>
      <c r="B140" s="8" t="s">
        <v>953</v>
      </c>
      <c r="C140" s="8">
        <v>3</v>
      </c>
      <c r="D140" s="8">
        <v>181</v>
      </c>
      <c r="E140" s="8" t="s">
        <v>950</v>
      </c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12"/>
      <c r="AW140" s="12"/>
      <c r="AX140" s="12"/>
      <c r="AY140" s="12"/>
      <c r="AZ140" s="12"/>
      <c r="BA140" s="12"/>
      <c r="BB140" s="12"/>
      <c r="BC140" s="12"/>
      <c r="BD140" s="12"/>
      <c r="BE140" s="12"/>
      <c r="BF140" s="12"/>
      <c r="BG140" s="12"/>
      <c r="BH140" s="12"/>
      <c r="BI140" s="12"/>
      <c r="BJ140" s="12"/>
      <c r="BK140" s="12"/>
      <c r="BL140" s="12"/>
      <c r="BM140" s="12"/>
      <c r="BN140" s="12"/>
      <c r="BO140" s="12"/>
      <c r="BP140" s="12"/>
      <c r="BQ140" s="12"/>
      <c r="BR140" s="12"/>
      <c r="BS140" s="12"/>
      <c r="BT140" s="12"/>
      <c r="BU140" s="12"/>
      <c r="BV140" s="12"/>
      <c r="BW140" s="12"/>
      <c r="BX140" s="12"/>
      <c r="BY140" s="12"/>
      <c r="BZ140" s="12"/>
      <c r="CA140" s="12"/>
    </row>
    <row r="141" spans="1:79" x14ac:dyDescent="0.3">
      <c r="A141" s="8">
        <v>3</v>
      </c>
      <c r="B141" s="8" t="s">
        <v>953</v>
      </c>
      <c r="C141" s="8">
        <v>3</v>
      </c>
      <c r="D141" s="8">
        <v>182</v>
      </c>
      <c r="E141" s="8" t="s">
        <v>950</v>
      </c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12"/>
      <c r="AW141" s="12"/>
      <c r="AX141" s="12"/>
      <c r="AY141" s="12"/>
      <c r="AZ141" s="12"/>
      <c r="BA141" s="12"/>
      <c r="BB141" s="12"/>
      <c r="BC141" s="12"/>
      <c r="BD141" s="12"/>
      <c r="BE141" s="12"/>
      <c r="BF141" s="12"/>
      <c r="BG141" s="12"/>
      <c r="BH141" s="12"/>
      <c r="BI141" s="12"/>
      <c r="BJ141" s="12"/>
      <c r="BK141" s="12"/>
      <c r="BL141" s="12"/>
      <c r="BM141" s="12"/>
      <c r="BN141" s="12"/>
      <c r="BO141" s="12"/>
      <c r="BP141" s="12"/>
      <c r="BQ141" s="12"/>
      <c r="BR141" s="12"/>
      <c r="BS141" s="12"/>
      <c r="BT141" s="12"/>
      <c r="BU141" s="12"/>
      <c r="BV141" s="12"/>
      <c r="BW141" s="12"/>
      <c r="BX141" s="12"/>
      <c r="BY141" s="12"/>
      <c r="BZ141" s="12"/>
      <c r="CA141" s="12"/>
    </row>
    <row r="142" spans="1:79" x14ac:dyDescent="0.3">
      <c r="A142" s="8">
        <v>3</v>
      </c>
      <c r="B142" s="8" t="s">
        <v>953</v>
      </c>
      <c r="C142" s="8">
        <v>3</v>
      </c>
      <c r="D142" s="8">
        <v>183</v>
      </c>
      <c r="E142" s="8" t="s">
        <v>951</v>
      </c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12"/>
      <c r="AW142" s="12"/>
      <c r="AX142" s="12"/>
      <c r="AY142" s="12"/>
      <c r="AZ142" s="12"/>
      <c r="BA142" s="12"/>
      <c r="BB142" s="12"/>
      <c r="BC142" s="12"/>
      <c r="BD142" s="12"/>
      <c r="BE142" s="12"/>
      <c r="BF142" s="12"/>
      <c r="BG142" s="12"/>
      <c r="BH142" s="12"/>
      <c r="BI142" s="12"/>
      <c r="BJ142" s="12"/>
      <c r="BK142" s="12"/>
      <c r="BL142" s="12"/>
      <c r="BM142" s="12"/>
      <c r="BN142" s="12"/>
      <c r="BO142" s="12"/>
      <c r="BP142" s="12"/>
      <c r="BQ142" s="12"/>
      <c r="BR142" s="12"/>
      <c r="BS142" s="12"/>
      <c r="BT142" s="12"/>
      <c r="BU142" s="12"/>
      <c r="BV142" s="12"/>
      <c r="BW142" s="12"/>
      <c r="BX142" s="12"/>
      <c r="BY142" s="12"/>
      <c r="BZ142" s="12"/>
      <c r="CA142" s="12"/>
    </row>
    <row r="143" spans="1:79" x14ac:dyDescent="0.3">
      <c r="A143" s="8">
        <v>3</v>
      </c>
      <c r="B143" s="8" t="s">
        <v>953</v>
      </c>
      <c r="C143" s="8">
        <v>3</v>
      </c>
      <c r="D143" s="8">
        <v>184</v>
      </c>
      <c r="E143" s="8" t="s">
        <v>951</v>
      </c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12"/>
      <c r="AW143" s="12"/>
      <c r="AX143" s="12"/>
      <c r="AY143" s="12"/>
      <c r="AZ143" s="12"/>
      <c r="BA143" s="12"/>
      <c r="BB143" s="12"/>
      <c r="BC143" s="12"/>
      <c r="BD143" s="12"/>
      <c r="BE143" s="12"/>
      <c r="BF143" s="12"/>
      <c r="BG143" s="12"/>
      <c r="BH143" s="12"/>
      <c r="BI143" s="12"/>
      <c r="BJ143" s="12"/>
      <c r="BK143" s="12"/>
      <c r="BL143" s="12"/>
      <c r="BM143" s="12"/>
      <c r="BN143" s="12"/>
      <c r="BO143" s="12"/>
      <c r="BP143" s="12"/>
      <c r="BQ143" s="12"/>
      <c r="BR143" s="12"/>
      <c r="BS143" s="12"/>
      <c r="BT143" s="12"/>
      <c r="BU143" s="12"/>
      <c r="BV143" s="12"/>
      <c r="BW143" s="12"/>
      <c r="BX143" s="12"/>
      <c r="BY143" s="12"/>
      <c r="BZ143" s="12"/>
      <c r="CA143" s="12"/>
    </row>
    <row r="144" spans="1:79" x14ac:dyDescent="0.3">
      <c r="A144" s="8">
        <v>3</v>
      </c>
      <c r="B144" s="8" t="s">
        <v>953</v>
      </c>
      <c r="C144" s="8">
        <v>3</v>
      </c>
      <c r="D144" s="8">
        <v>185</v>
      </c>
      <c r="E144" s="8" t="s">
        <v>951</v>
      </c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12"/>
      <c r="AW144" s="12"/>
      <c r="AX144" s="12"/>
      <c r="AY144" s="12"/>
      <c r="AZ144" s="12"/>
      <c r="BA144" s="12"/>
      <c r="BB144" s="12"/>
      <c r="BC144" s="12"/>
      <c r="BD144" s="12"/>
      <c r="BE144" s="12"/>
      <c r="BF144" s="12"/>
      <c r="BG144" s="12"/>
      <c r="BH144" s="12"/>
      <c r="BI144" s="12"/>
      <c r="BJ144" s="12"/>
      <c r="BK144" s="12"/>
      <c r="BL144" s="12"/>
      <c r="BM144" s="12"/>
      <c r="BN144" s="12"/>
      <c r="BO144" s="12"/>
      <c r="BP144" s="12"/>
      <c r="BQ144" s="12"/>
      <c r="BR144" s="12"/>
      <c r="BS144" s="12"/>
      <c r="BT144" s="12"/>
      <c r="BU144" s="12"/>
      <c r="BV144" s="12"/>
      <c r="BW144" s="12"/>
      <c r="BX144" s="12"/>
      <c r="BY144" s="12"/>
      <c r="BZ144" s="12"/>
      <c r="CA144" s="12"/>
    </row>
    <row r="145" spans="1:79" x14ac:dyDescent="0.3">
      <c r="A145" s="8">
        <v>3</v>
      </c>
      <c r="B145" s="8" t="s">
        <v>953</v>
      </c>
      <c r="C145" s="8">
        <v>3</v>
      </c>
      <c r="D145" s="8">
        <v>186</v>
      </c>
      <c r="E145" s="8" t="s">
        <v>950</v>
      </c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12"/>
      <c r="AW145" s="12"/>
      <c r="AX145" s="12"/>
      <c r="AY145" s="12"/>
      <c r="AZ145" s="12"/>
      <c r="BA145" s="12"/>
      <c r="BB145" s="12"/>
      <c r="BC145" s="12"/>
      <c r="BD145" s="12"/>
      <c r="BE145" s="12"/>
      <c r="BF145" s="12"/>
      <c r="BG145" s="12"/>
      <c r="BH145" s="12"/>
      <c r="BI145" s="12"/>
      <c r="BJ145" s="12"/>
      <c r="BK145" s="12"/>
      <c r="BL145" s="12"/>
      <c r="BM145" s="12"/>
      <c r="BN145" s="12"/>
      <c r="BO145" s="12"/>
      <c r="BP145" s="12"/>
      <c r="BQ145" s="12"/>
      <c r="BR145" s="12"/>
      <c r="BS145" s="12"/>
      <c r="BT145" s="12"/>
      <c r="BU145" s="12"/>
      <c r="BV145" s="12"/>
      <c r="BW145" s="12"/>
      <c r="BX145" s="12"/>
      <c r="BY145" s="12"/>
      <c r="BZ145" s="12"/>
      <c r="CA145" s="12"/>
    </row>
    <row r="146" spans="1:79" x14ac:dyDescent="0.3">
      <c r="A146" s="8">
        <v>3</v>
      </c>
      <c r="B146" s="8" t="s">
        <v>953</v>
      </c>
      <c r="C146" s="8">
        <v>3</v>
      </c>
      <c r="D146" s="8">
        <v>187</v>
      </c>
      <c r="E146" s="8" t="s">
        <v>950</v>
      </c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12"/>
      <c r="AW146" s="12"/>
      <c r="AX146" s="12"/>
      <c r="AY146" s="12"/>
      <c r="AZ146" s="12"/>
      <c r="BA146" s="12"/>
      <c r="BB146" s="12"/>
      <c r="BC146" s="12"/>
      <c r="BD146" s="12"/>
      <c r="BE146" s="12"/>
      <c r="BF146" s="12"/>
      <c r="BG146" s="12"/>
      <c r="BH146" s="12"/>
      <c r="BI146" s="12"/>
      <c r="BJ146" s="12"/>
      <c r="BK146" s="12"/>
      <c r="BL146" s="12"/>
      <c r="BM146" s="12"/>
      <c r="BN146" s="12"/>
      <c r="BO146" s="12"/>
      <c r="BP146" s="12"/>
      <c r="BQ146" s="12"/>
      <c r="BR146" s="12"/>
      <c r="BS146" s="12"/>
      <c r="BT146" s="12"/>
      <c r="BU146" s="12"/>
      <c r="BV146" s="12"/>
      <c r="BW146" s="12"/>
      <c r="BX146" s="12"/>
      <c r="BY146" s="12"/>
      <c r="BZ146" s="12"/>
      <c r="CA146" s="12"/>
    </row>
    <row r="147" spans="1:79" x14ac:dyDescent="0.3">
      <c r="A147" s="8">
        <v>1</v>
      </c>
      <c r="B147" s="8" t="s">
        <v>953</v>
      </c>
      <c r="C147" s="8">
        <v>3</v>
      </c>
      <c r="D147" s="8">
        <v>188</v>
      </c>
      <c r="E147" s="8" t="s">
        <v>951</v>
      </c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12"/>
      <c r="AW147" s="12"/>
      <c r="AX147" s="12"/>
      <c r="AY147" s="12"/>
      <c r="AZ147" s="12"/>
      <c r="BA147" s="12"/>
      <c r="BB147" s="12"/>
      <c r="BC147" s="12"/>
      <c r="BD147" s="12"/>
      <c r="BE147" s="12"/>
      <c r="BF147" s="12"/>
      <c r="BG147" s="12"/>
      <c r="BH147" s="12"/>
      <c r="BI147" s="12"/>
      <c r="BJ147" s="12"/>
      <c r="BK147" s="12"/>
      <c r="BL147" s="12"/>
      <c r="BM147" s="12"/>
      <c r="BN147" s="12"/>
      <c r="BO147" s="12"/>
      <c r="BP147" s="12"/>
      <c r="BQ147" s="12"/>
      <c r="BR147" s="12"/>
      <c r="BS147" s="12"/>
      <c r="BT147" s="12"/>
      <c r="BU147" s="12"/>
      <c r="BV147" s="12"/>
      <c r="BW147" s="12"/>
      <c r="BX147" s="12"/>
      <c r="BY147" s="12"/>
      <c r="BZ147" s="12"/>
      <c r="CA147" s="12"/>
    </row>
    <row r="148" spans="1:79" x14ac:dyDescent="0.3">
      <c r="A148" s="8">
        <v>1</v>
      </c>
      <c r="B148" s="8" t="s">
        <v>953</v>
      </c>
      <c r="C148" s="8">
        <v>3</v>
      </c>
      <c r="D148" s="8">
        <v>189</v>
      </c>
      <c r="E148" s="8" t="s">
        <v>950</v>
      </c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12"/>
      <c r="AW148" s="12"/>
      <c r="AX148" s="12"/>
      <c r="AY148" s="12"/>
      <c r="AZ148" s="12"/>
      <c r="BA148" s="12"/>
      <c r="BB148" s="12"/>
      <c r="BC148" s="12"/>
      <c r="BD148" s="12"/>
      <c r="BE148" s="12"/>
      <c r="BF148" s="12"/>
      <c r="BG148" s="12"/>
      <c r="BH148" s="12"/>
      <c r="BI148" s="12"/>
      <c r="BJ148" s="12"/>
      <c r="BK148" s="12"/>
      <c r="BL148" s="12"/>
      <c r="BM148" s="12"/>
      <c r="BN148" s="12"/>
      <c r="BO148" s="12"/>
      <c r="BP148" s="12"/>
      <c r="BQ148" s="12"/>
      <c r="BR148" s="12"/>
      <c r="BS148" s="12"/>
      <c r="BT148" s="12"/>
      <c r="BU148" s="12"/>
      <c r="BV148" s="12"/>
      <c r="BW148" s="12"/>
      <c r="BX148" s="12"/>
      <c r="BY148" s="12"/>
      <c r="BZ148" s="12"/>
      <c r="CA148" s="12"/>
    </row>
    <row r="149" spans="1:79" x14ac:dyDescent="0.3">
      <c r="A149" s="8">
        <v>1</v>
      </c>
      <c r="B149" s="8" t="s">
        <v>954</v>
      </c>
      <c r="C149" s="8">
        <v>3</v>
      </c>
      <c r="D149" s="8">
        <v>190</v>
      </c>
      <c r="E149" s="8" t="s">
        <v>950</v>
      </c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12"/>
      <c r="AW149" s="12"/>
      <c r="AX149" s="12"/>
      <c r="AY149" s="12"/>
      <c r="AZ149" s="12"/>
      <c r="BA149" s="12"/>
      <c r="BB149" s="12"/>
      <c r="BC149" s="12"/>
      <c r="BD149" s="12"/>
      <c r="BE149" s="12"/>
      <c r="BF149" s="12"/>
      <c r="BG149" s="12"/>
      <c r="BH149" s="12"/>
      <c r="BI149" s="12"/>
      <c r="BJ149" s="12"/>
      <c r="BK149" s="12"/>
      <c r="BL149" s="12"/>
      <c r="BM149" s="12"/>
      <c r="BN149" s="12"/>
      <c r="BO149" s="12"/>
      <c r="BP149" s="12"/>
      <c r="BQ149" s="12"/>
      <c r="BR149" s="12"/>
      <c r="BS149" s="12"/>
      <c r="BT149" s="12"/>
      <c r="BU149" s="12"/>
      <c r="BV149" s="12"/>
      <c r="BW149" s="12"/>
      <c r="BX149" s="12"/>
      <c r="BY149" s="12"/>
      <c r="BZ149" s="12"/>
      <c r="CA149" s="12"/>
    </row>
    <row r="150" spans="1:79" x14ac:dyDescent="0.3">
      <c r="A150" s="8">
        <v>1</v>
      </c>
      <c r="B150" s="8" t="s">
        <v>954</v>
      </c>
      <c r="C150" s="8">
        <v>3</v>
      </c>
      <c r="D150" s="8">
        <v>191</v>
      </c>
      <c r="E150" s="8" t="s">
        <v>950</v>
      </c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12"/>
      <c r="AW150" s="12"/>
      <c r="AX150" s="12"/>
      <c r="AY150" s="12"/>
      <c r="AZ150" s="12"/>
      <c r="BA150" s="12"/>
      <c r="BB150" s="12"/>
      <c r="BC150" s="12"/>
      <c r="BD150" s="12"/>
      <c r="BE150" s="12"/>
      <c r="BF150" s="12"/>
      <c r="BG150" s="12"/>
      <c r="BH150" s="12"/>
      <c r="BI150" s="12"/>
      <c r="BJ150" s="12"/>
      <c r="BK150" s="12"/>
      <c r="BL150" s="12"/>
      <c r="BM150" s="12"/>
      <c r="BN150" s="12"/>
      <c r="BO150" s="12"/>
      <c r="BP150" s="12"/>
      <c r="BQ150" s="12"/>
      <c r="BR150" s="12"/>
      <c r="BS150" s="12"/>
      <c r="BT150" s="12"/>
      <c r="BU150" s="12"/>
      <c r="BV150" s="12"/>
      <c r="BW150" s="12"/>
      <c r="BX150" s="12"/>
      <c r="BY150" s="12"/>
      <c r="BZ150" s="12"/>
      <c r="CA150" s="12"/>
    </row>
    <row r="151" spans="1:79" x14ac:dyDescent="0.3">
      <c r="A151" s="8">
        <v>1</v>
      </c>
      <c r="B151" s="8" t="s">
        <v>954</v>
      </c>
      <c r="C151" s="8">
        <v>3</v>
      </c>
      <c r="D151" s="8">
        <v>192</v>
      </c>
      <c r="E151" s="8" t="s">
        <v>950</v>
      </c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12"/>
      <c r="AW151" s="12"/>
      <c r="AX151" s="12"/>
      <c r="AY151" s="12"/>
      <c r="AZ151" s="12"/>
      <c r="BA151" s="12"/>
      <c r="BB151" s="12"/>
      <c r="BC151" s="12"/>
      <c r="BD151" s="12"/>
      <c r="BE151" s="12"/>
      <c r="BF151" s="12"/>
      <c r="BG151" s="12"/>
      <c r="BH151" s="12"/>
      <c r="BI151" s="12"/>
      <c r="BJ151" s="12"/>
      <c r="BK151" s="12"/>
      <c r="BL151" s="12"/>
      <c r="BM151" s="12"/>
      <c r="BN151" s="12"/>
      <c r="BO151" s="12"/>
      <c r="BP151" s="12"/>
      <c r="BQ151" s="12"/>
      <c r="BR151" s="12"/>
      <c r="BS151" s="12"/>
      <c r="BT151" s="12"/>
      <c r="BU151" s="12"/>
      <c r="BV151" s="12"/>
      <c r="BW151" s="12"/>
      <c r="BX151" s="12"/>
      <c r="BY151" s="12"/>
      <c r="BZ151" s="12"/>
      <c r="CA151" s="12"/>
    </row>
    <row r="152" spans="1:79" x14ac:dyDescent="0.3">
      <c r="A152" s="8">
        <v>1</v>
      </c>
      <c r="B152" s="8" t="s">
        <v>954</v>
      </c>
      <c r="C152" s="8">
        <v>3</v>
      </c>
      <c r="D152" s="8">
        <v>193</v>
      </c>
      <c r="E152" s="8" t="s">
        <v>951</v>
      </c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12"/>
      <c r="AW152" s="12"/>
      <c r="AX152" s="12"/>
      <c r="AY152" s="12"/>
      <c r="AZ152" s="12"/>
      <c r="BA152" s="12"/>
      <c r="BB152" s="12"/>
      <c r="BC152" s="12"/>
      <c r="BD152" s="12"/>
      <c r="BE152" s="12"/>
      <c r="BF152" s="12"/>
      <c r="BG152" s="12"/>
      <c r="BH152" s="12"/>
      <c r="BI152" s="12"/>
      <c r="BJ152" s="12"/>
      <c r="BK152" s="12"/>
      <c r="BL152" s="12"/>
      <c r="BM152" s="12"/>
      <c r="BN152" s="12"/>
      <c r="BO152" s="12"/>
      <c r="BP152" s="12"/>
      <c r="BQ152" s="12"/>
      <c r="BR152" s="12"/>
      <c r="BS152" s="12"/>
      <c r="BT152" s="12"/>
      <c r="BU152" s="12"/>
      <c r="BV152" s="12"/>
      <c r="BW152" s="12"/>
      <c r="BX152" s="12"/>
      <c r="BY152" s="12"/>
      <c r="BZ152" s="12"/>
      <c r="CA152" s="12"/>
    </row>
    <row r="153" spans="1:79" x14ac:dyDescent="0.3">
      <c r="A153" s="8">
        <v>1</v>
      </c>
      <c r="B153" s="8" t="s">
        <v>954</v>
      </c>
      <c r="C153" s="8">
        <v>3</v>
      </c>
      <c r="D153" s="8">
        <v>194</v>
      </c>
      <c r="E153" s="8" t="s">
        <v>951</v>
      </c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12"/>
      <c r="AW153" s="12"/>
      <c r="AX153" s="12"/>
      <c r="AY153" s="12"/>
      <c r="AZ153" s="12"/>
      <c r="BA153" s="12"/>
      <c r="BB153" s="12"/>
      <c r="BC153" s="12"/>
      <c r="BD153" s="12"/>
      <c r="BE153" s="12"/>
      <c r="BF153" s="12"/>
      <c r="BG153" s="12"/>
      <c r="BH153" s="12"/>
      <c r="BI153" s="12"/>
      <c r="BJ153" s="12"/>
      <c r="BK153" s="12"/>
      <c r="BL153" s="12"/>
      <c r="BM153" s="12"/>
      <c r="BN153" s="12"/>
      <c r="BO153" s="12"/>
      <c r="BP153" s="12"/>
      <c r="BQ153" s="12"/>
      <c r="BR153" s="12"/>
      <c r="BS153" s="12"/>
      <c r="BT153" s="12"/>
      <c r="BU153" s="12"/>
      <c r="BV153" s="12"/>
      <c r="BW153" s="12"/>
      <c r="BX153" s="12"/>
      <c r="BY153" s="12"/>
      <c r="BZ153" s="12"/>
      <c r="CA153" s="12"/>
    </row>
    <row r="154" spans="1:79" x14ac:dyDescent="0.3">
      <c r="A154" s="8">
        <v>1</v>
      </c>
      <c r="B154" s="8" t="s">
        <v>954</v>
      </c>
      <c r="C154" s="8">
        <v>3</v>
      </c>
      <c r="D154" s="8">
        <v>195</v>
      </c>
      <c r="E154" s="8" t="s">
        <v>950</v>
      </c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12"/>
      <c r="AW154" s="12"/>
      <c r="AX154" s="12"/>
      <c r="AY154" s="12"/>
      <c r="AZ154" s="12"/>
      <c r="BA154" s="12"/>
      <c r="BB154" s="12"/>
      <c r="BC154" s="12"/>
      <c r="BD154" s="12"/>
      <c r="BE154" s="12"/>
      <c r="BF154" s="12"/>
      <c r="BG154" s="12"/>
      <c r="BH154" s="12"/>
      <c r="BI154" s="12"/>
      <c r="BJ154" s="12"/>
      <c r="BK154" s="12"/>
      <c r="BL154" s="12"/>
      <c r="BM154" s="12"/>
      <c r="BN154" s="12"/>
      <c r="BO154" s="12"/>
      <c r="BP154" s="12"/>
      <c r="BQ154" s="12"/>
      <c r="BR154" s="12"/>
      <c r="BS154" s="12"/>
      <c r="BT154" s="12"/>
      <c r="BU154" s="12"/>
      <c r="BV154" s="12"/>
      <c r="BW154" s="12"/>
      <c r="BX154" s="12"/>
      <c r="BY154" s="12"/>
      <c r="BZ154" s="12"/>
      <c r="CA154" s="12"/>
    </row>
    <row r="155" spans="1:79" x14ac:dyDescent="0.3">
      <c r="A155" s="8">
        <v>1</v>
      </c>
      <c r="B155" s="8" t="s">
        <v>954</v>
      </c>
      <c r="C155" s="8">
        <v>3</v>
      </c>
      <c r="D155" s="8">
        <v>196</v>
      </c>
      <c r="E155" s="8" t="s">
        <v>950</v>
      </c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12"/>
      <c r="AW155" s="12"/>
      <c r="AX155" s="12"/>
      <c r="AY155" s="12"/>
      <c r="AZ155" s="12"/>
      <c r="BA155" s="12"/>
      <c r="BB155" s="12"/>
      <c r="BC155" s="12"/>
      <c r="BD155" s="12"/>
      <c r="BE155" s="12"/>
      <c r="BF155" s="12"/>
      <c r="BG155" s="12"/>
      <c r="BH155" s="12"/>
      <c r="BI155" s="12"/>
      <c r="BJ155" s="12"/>
      <c r="BK155" s="12"/>
      <c r="BL155" s="12"/>
      <c r="BM155" s="12"/>
      <c r="BN155" s="12"/>
      <c r="BO155" s="12"/>
      <c r="BP155" s="12"/>
      <c r="BQ155" s="12"/>
      <c r="BR155" s="12"/>
      <c r="BS155" s="12"/>
      <c r="BT155" s="12"/>
      <c r="BU155" s="12"/>
      <c r="BV155" s="12"/>
      <c r="BW155" s="12"/>
      <c r="BX155" s="12"/>
      <c r="BY155" s="12"/>
      <c r="BZ155" s="12"/>
      <c r="CA155" s="12"/>
    </row>
    <row r="156" spans="1:79" x14ac:dyDescent="0.3">
      <c r="A156" s="8">
        <v>1</v>
      </c>
      <c r="B156" s="8" t="s">
        <v>954</v>
      </c>
      <c r="C156" s="8">
        <v>3</v>
      </c>
      <c r="D156" s="8">
        <v>197</v>
      </c>
      <c r="E156" s="8" t="s">
        <v>951</v>
      </c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12"/>
      <c r="AW156" s="12"/>
      <c r="AX156" s="12"/>
      <c r="AY156" s="12"/>
      <c r="AZ156" s="12"/>
      <c r="BA156" s="12"/>
      <c r="BB156" s="12"/>
      <c r="BC156" s="12"/>
      <c r="BD156" s="12"/>
      <c r="BE156" s="12"/>
      <c r="BF156" s="12"/>
      <c r="BG156" s="12"/>
      <c r="BH156" s="12"/>
      <c r="BI156" s="12"/>
      <c r="BJ156" s="12"/>
      <c r="BK156" s="12"/>
      <c r="BL156" s="12"/>
      <c r="BM156" s="12"/>
      <c r="BN156" s="12"/>
      <c r="BO156" s="12"/>
      <c r="BP156" s="12"/>
      <c r="BQ156" s="12"/>
      <c r="BR156" s="12"/>
      <c r="BS156" s="12"/>
      <c r="BT156" s="12"/>
      <c r="BU156" s="12"/>
      <c r="BV156" s="12"/>
      <c r="BW156" s="12"/>
      <c r="BX156" s="12"/>
      <c r="BY156" s="12"/>
      <c r="BZ156" s="12"/>
      <c r="CA156" s="12"/>
    </row>
    <row r="157" spans="1:79" x14ac:dyDescent="0.3">
      <c r="A157" s="8">
        <v>1</v>
      </c>
      <c r="B157" s="8" t="s">
        <v>954</v>
      </c>
      <c r="C157" s="8">
        <v>3</v>
      </c>
      <c r="D157" s="8">
        <v>198</v>
      </c>
      <c r="E157" s="8" t="s">
        <v>950</v>
      </c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12"/>
      <c r="AW157" s="12"/>
      <c r="AX157" s="12"/>
      <c r="AY157" s="12"/>
      <c r="AZ157" s="12"/>
      <c r="BA157" s="12"/>
      <c r="BB157" s="12"/>
      <c r="BC157" s="12"/>
      <c r="BD157" s="12"/>
      <c r="BE157" s="12"/>
      <c r="BF157" s="12"/>
      <c r="BG157" s="12"/>
      <c r="BH157" s="12"/>
      <c r="BI157" s="12"/>
      <c r="BJ157" s="12"/>
      <c r="BK157" s="12"/>
      <c r="BL157" s="12"/>
      <c r="BM157" s="12"/>
      <c r="BN157" s="12"/>
      <c r="BO157" s="12"/>
      <c r="BP157" s="12"/>
      <c r="BQ157" s="12"/>
      <c r="BR157" s="12"/>
      <c r="BS157" s="12"/>
      <c r="BT157" s="12"/>
      <c r="BU157" s="12"/>
      <c r="BV157" s="12"/>
      <c r="BW157" s="12"/>
      <c r="BX157" s="12"/>
      <c r="BY157" s="12"/>
      <c r="BZ157" s="12"/>
      <c r="CA157" s="12"/>
    </row>
    <row r="158" spans="1:79" x14ac:dyDescent="0.3">
      <c r="A158" s="8">
        <v>1</v>
      </c>
      <c r="B158" s="8" t="s">
        <v>954</v>
      </c>
      <c r="C158" s="8">
        <v>3</v>
      </c>
      <c r="D158" s="8">
        <v>199</v>
      </c>
      <c r="E158" s="8" t="s">
        <v>950</v>
      </c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12"/>
      <c r="AW158" s="12"/>
      <c r="AX158" s="12"/>
      <c r="AY158" s="12"/>
      <c r="AZ158" s="12"/>
      <c r="BA158" s="12"/>
      <c r="BB158" s="12"/>
      <c r="BC158" s="12"/>
      <c r="BD158" s="12"/>
      <c r="BE158" s="12"/>
      <c r="BF158" s="12"/>
      <c r="BG158" s="12"/>
      <c r="BH158" s="12"/>
      <c r="BI158" s="12"/>
      <c r="BJ158" s="12"/>
      <c r="BK158" s="12"/>
      <c r="BL158" s="12"/>
      <c r="BM158" s="12"/>
      <c r="BN158" s="12"/>
      <c r="BO158" s="12"/>
      <c r="BP158" s="12"/>
      <c r="BQ158" s="12"/>
      <c r="BR158" s="12"/>
      <c r="BS158" s="12"/>
      <c r="BT158" s="12"/>
      <c r="BU158" s="12"/>
      <c r="BV158" s="12"/>
      <c r="BW158" s="12"/>
      <c r="BX158" s="12"/>
      <c r="BY158" s="12"/>
      <c r="BZ158" s="12"/>
      <c r="CA158" s="12"/>
    </row>
    <row r="159" spans="1:79" x14ac:dyDescent="0.3">
      <c r="A159" s="8">
        <v>1</v>
      </c>
      <c r="B159" s="8" t="s">
        <v>954</v>
      </c>
      <c r="C159" s="8">
        <v>3</v>
      </c>
      <c r="D159" s="8">
        <v>200</v>
      </c>
      <c r="E159" s="8" t="s">
        <v>950</v>
      </c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12"/>
      <c r="AW159" s="12"/>
      <c r="AX159" s="12"/>
      <c r="AY159" s="12"/>
      <c r="AZ159" s="12"/>
      <c r="BA159" s="12"/>
      <c r="BB159" s="12"/>
      <c r="BC159" s="12"/>
      <c r="BD159" s="12"/>
      <c r="BE159" s="12"/>
      <c r="BF159" s="12"/>
      <c r="BG159" s="12"/>
      <c r="BH159" s="12"/>
      <c r="BI159" s="12"/>
      <c r="BJ159" s="12"/>
      <c r="BK159" s="12"/>
      <c r="BL159" s="12"/>
      <c r="BM159" s="12"/>
      <c r="BN159" s="12"/>
      <c r="BO159" s="12"/>
      <c r="BP159" s="12"/>
      <c r="BQ159" s="12"/>
      <c r="BR159" s="12"/>
      <c r="BS159" s="12"/>
      <c r="BT159" s="12"/>
      <c r="BU159" s="12"/>
      <c r="BV159" s="12"/>
      <c r="BW159" s="12"/>
      <c r="BX159" s="12"/>
      <c r="BY159" s="12"/>
      <c r="BZ159" s="12"/>
      <c r="CA159" s="12"/>
    </row>
    <row r="160" spans="1:79" x14ac:dyDescent="0.3">
      <c r="A160" s="8">
        <v>1</v>
      </c>
      <c r="B160" s="8" t="s">
        <v>954</v>
      </c>
      <c r="C160" s="8">
        <v>3</v>
      </c>
      <c r="D160" s="8">
        <v>201</v>
      </c>
      <c r="E160" s="8" t="s">
        <v>950</v>
      </c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12"/>
      <c r="AW160" s="12"/>
      <c r="AX160" s="12"/>
      <c r="AY160" s="12"/>
      <c r="AZ160" s="12"/>
      <c r="BA160" s="12"/>
      <c r="BB160" s="12"/>
      <c r="BC160" s="12"/>
      <c r="BD160" s="12"/>
      <c r="BE160" s="12"/>
      <c r="BF160" s="12"/>
      <c r="BG160" s="12"/>
      <c r="BH160" s="12"/>
      <c r="BI160" s="12"/>
      <c r="BJ160" s="12"/>
      <c r="BK160" s="12"/>
      <c r="BL160" s="12"/>
      <c r="BM160" s="12"/>
      <c r="BN160" s="12"/>
      <c r="BO160" s="12"/>
      <c r="BP160" s="12"/>
      <c r="BQ160" s="12"/>
      <c r="BR160" s="12"/>
      <c r="BS160" s="12"/>
      <c r="BT160" s="12"/>
      <c r="BU160" s="12"/>
      <c r="BV160" s="12"/>
      <c r="BW160" s="12"/>
      <c r="BX160" s="12"/>
      <c r="BY160" s="12"/>
      <c r="BZ160" s="12"/>
      <c r="CA160" s="12"/>
    </row>
    <row r="161" spans="1:79" x14ac:dyDescent="0.3">
      <c r="A161" s="8">
        <v>1</v>
      </c>
      <c r="B161" s="8" t="s">
        <v>954</v>
      </c>
      <c r="C161" s="8">
        <v>3</v>
      </c>
      <c r="D161" s="8">
        <v>202</v>
      </c>
      <c r="E161" s="8" t="s">
        <v>951</v>
      </c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12"/>
      <c r="AW161" s="12"/>
      <c r="AX161" s="12"/>
      <c r="AY161" s="12"/>
      <c r="AZ161" s="12"/>
      <c r="BA161" s="12"/>
      <c r="BB161" s="12"/>
      <c r="BC161" s="12"/>
      <c r="BD161" s="12"/>
      <c r="BE161" s="12"/>
      <c r="BF161" s="12"/>
      <c r="BG161" s="12"/>
      <c r="BH161" s="12"/>
      <c r="BI161" s="12"/>
      <c r="BJ161" s="12"/>
      <c r="BK161" s="12"/>
      <c r="BL161" s="12"/>
      <c r="BM161" s="12"/>
      <c r="BN161" s="12"/>
      <c r="BO161" s="12"/>
      <c r="BP161" s="12"/>
      <c r="BQ161" s="12"/>
      <c r="BR161" s="12"/>
      <c r="BS161" s="12"/>
      <c r="BT161" s="12"/>
      <c r="BU161" s="12"/>
      <c r="BV161" s="12"/>
      <c r="BW161" s="12"/>
      <c r="BX161" s="12"/>
      <c r="BY161" s="12"/>
      <c r="BZ161" s="12"/>
      <c r="CA161" s="12"/>
    </row>
    <row r="162" spans="1:79" x14ac:dyDescent="0.3">
      <c r="A162" s="8">
        <v>1</v>
      </c>
      <c r="B162" s="8" t="s">
        <v>954</v>
      </c>
      <c r="C162" s="8">
        <v>3</v>
      </c>
      <c r="D162" s="8">
        <v>203</v>
      </c>
      <c r="E162" s="8" t="s">
        <v>951</v>
      </c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12"/>
      <c r="AW162" s="12"/>
      <c r="AX162" s="12"/>
      <c r="AY162" s="12"/>
      <c r="AZ162" s="12"/>
      <c r="BA162" s="12"/>
      <c r="BB162" s="12"/>
      <c r="BC162" s="12"/>
      <c r="BD162" s="12"/>
      <c r="BE162" s="12"/>
      <c r="BF162" s="12"/>
      <c r="BG162" s="12"/>
      <c r="BH162" s="12"/>
      <c r="BI162" s="12"/>
      <c r="BJ162" s="12"/>
      <c r="BK162" s="12"/>
      <c r="BL162" s="12"/>
      <c r="BM162" s="12"/>
      <c r="BN162" s="12"/>
      <c r="BO162" s="12"/>
      <c r="BP162" s="12"/>
      <c r="BQ162" s="12"/>
      <c r="BR162" s="12"/>
      <c r="BS162" s="12"/>
      <c r="BT162" s="12"/>
      <c r="BU162" s="12"/>
      <c r="BV162" s="12"/>
      <c r="BW162" s="12"/>
      <c r="BX162" s="12"/>
      <c r="BY162" s="12"/>
      <c r="BZ162" s="12"/>
      <c r="CA162" s="12"/>
    </row>
    <row r="163" spans="1:79" x14ac:dyDescent="0.3">
      <c r="A163" s="8">
        <v>1</v>
      </c>
      <c r="B163" s="8" t="s">
        <v>954</v>
      </c>
      <c r="C163" s="8">
        <v>3</v>
      </c>
      <c r="D163" s="8">
        <v>204</v>
      </c>
      <c r="E163" s="8" t="s">
        <v>951</v>
      </c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12"/>
      <c r="BB163" s="12"/>
      <c r="BC163" s="12"/>
      <c r="BD163" s="12"/>
      <c r="BE163" s="12"/>
      <c r="BF163" s="12"/>
      <c r="BG163" s="12"/>
      <c r="BH163" s="12"/>
      <c r="BI163" s="12"/>
      <c r="BJ163" s="12"/>
      <c r="BK163" s="12"/>
      <c r="BL163" s="12"/>
      <c r="BM163" s="12"/>
      <c r="BN163" s="12"/>
      <c r="BO163" s="12"/>
      <c r="BP163" s="12"/>
      <c r="BQ163" s="12"/>
      <c r="BR163" s="12"/>
      <c r="BS163" s="12"/>
      <c r="BT163" s="12"/>
      <c r="BU163" s="12"/>
      <c r="BV163" s="12"/>
      <c r="BW163" s="12"/>
      <c r="BX163" s="12"/>
      <c r="BY163" s="12"/>
      <c r="BZ163" s="12"/>
      <c r="CA163" s="12"/>
    </row>
    <row r="164" spans="1:79" x14ac:dyDescent="0.3">
      <c r="A164" s="8">
        <v>1</v>
      </c>
      <c r="B164" s="8" t="s">
        <v>954</v>
      </c>
      <c r="C164" s="8">
        <v>3</v>
      </c>
      <c r="D164" s="8">
        <v>205</v>
      </c>
      <c r="E164" s="8" t="s">
        <v>950</v>
      </c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12"/>
      <c r="AW164" s="12"/>
      <c r="AX164" s="12"/>
      <c r="AY164" s="12"/>
      <c r="AZ164" s="12"/>
      <c r="BA164" s="12"/>
      <c r="BB164" s="12"/>
      <c r="BC164" s="12"/>
      <c r="BD164" s="12"/>
      <c r="BE164" s="12"/>
      <c r="BF164" s="12"/>
      <c r="BG164" s="12"/>
      <c r="BH164" s="12"/>
      <c r="BI164" s="12"/>
      <c r="BJ164" s="12"/>
      <c r="BK164" s="12"/>
      <c r="BL164" s="12"/>
      <c r="BM164" s="12"/>
      <c r="BN164" s="12"/>
      <c r="BO164" s="12"/>
      <c r="BP164" s="12"/>
      <c r="BQ164" s="12"/>
      <c r="BR164" s="12"/>
      <c r="BS164" s="12"/>
      <c r="BT164" s="12"/>
      <c r="BU164" s="12"/>
      <c r="BV164" s="12"/>
      <c r="BW164" s="12"/>
      <c r="BX164" s="12"/>
      <c r="BY164" s="12"/>
      <c r="BZ164" s="12"/>
      <c r="CA164" s="12"/>
    </row>
    <row r="165" spans="1:79" x14ac:dyDescent="0.3">
      <c r="A165" s="8">
        <v>1</v>
      </c>
      <c r="B165" s="8" t="s">
        <v>954</v>
      </c>
      <c r="C165" s="8">
        <v>3</v>
      </c>
      <c r="D165" s="8">
        <v>206</v>
      </c>
      <c r="E165" s="8" t="s">
        <v>950</v>
      </c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12"/>
      <c r="AW165" s="12"/>
      <c r="AX165" s="12"/>
      <c r="AY165" s="12"/>
      <c r="AZ165" s="12"/>
      <c r="BA165" s="12"/>
      <c r="BB165" s="12"/>
      <c r="BC165" s="12"/>
      <c r="BD165" s="12"/>
      <c r="BE165" s="12"/>
      <c r="BF165" s="12"/>
      <c r="BG165" s="12"/>
      <c r="BH165" s="12"/>
      <c r="BI165" s="12"/>
      <c r="BJ165" s="12"/>
      <c r="BK165" s="12"/>
      <c r="BL165" s="12"/>
      <c r="BM165" s="12"/>
      <c r="BN165" s="12"/>
      <c r="BO165" s="12"/>
      <c r="BP165" s="12"/>
      <c r="BQ165" s="12"/>
      <c r="BR165" s="12"/>
      <c r="BS165" s="12"/>
      <c r="BT165" s="12"/>
      <c r="BU165" s="12"/>
      <c r="BV165" s="12"/>
      <c r="BW165" s="12"/>
      <c r="BX165" s="12"/>
      <c r="BY165" s="12"/>
      <c r="BZ165" s="12"/>
      <c r="CA165" s="12"/>
    </row>
    <row r="166" spans="1:79" x14ac:dyDescent="0.3">
      <c r="A166" s="8">
        <v>1</v>
      </c>
      <c r="B166" s="8" t="s">
        <v>954</v>
      </c>
      <c r="C166" s="8">
        <v>3</v>
      </c>
      <c r="D166" s="8">
        <v>207</v>
      </c>
      <c r="E166" s="8" t="s">
        <v>950</v>
      </c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12"/>
      <c r="AW166" s="12"/>
      <c r="AX166" s="12"/>
      <c r="AY166" s="12"/>
      <c r="AZ166" s="12"/>
      <c r="BA166" s="12"/>
      <c r="BB166" s="12"/>
      <c r="BC166" s="12"/>
      <c r="BD166" s="12"/>
      <c r="BE166" s="12"/>
      <c r="BF166" s="12"/>
      <c r="BG166" s="12"/>
      <c r="BH166" s="12"/>
      <c r="BI166" s="12"/>
      <c r="BJ166" s="12"/>
      <c r="BK166" s="12"/>
      <c r="BL166" s="12"/>
      <c r="BM166" s="12"/>
      <c r="BN166" s="12"/>
      <c r="BO166" s="12"/>
      <c r="BP166" s="12"/>
      <c r="BQ166" s="12"/>
      <c r="BR166" s="12"/>
      <c r="BS166" s="12"/>
      <c r="BT166" s="12"/>
      <c r="BU166" s="12"/>
      <c r="BV166" s="12"/>
      <c r="BW166" s="12"/>
      <c r="BX166" s="12"/>
      <c r="BY166" s="12"/>
      <c r="BZ166" s="12"/>
      <c r="CA166" s="12"/>
    </row>
    <row r="167" spans="1:79" x14ac:dyDescent="0.3">
      <c r="A167" s="8">
        <v>1</v>
      </c>
      <c r="B167" s="8" t="s">
        <v>954</v>
      </c>
      <c r="C167" s="8">
        <v>3</v>
      </c>
      <c r="D167" s="8">
        <v>208</v>
      </c>
      <c r="E167" s="8" t="s">
        <v>951</v>
      </c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12"/>
      <c r="AW167" s="12"/>
      <c r="AX167" s="12"/>
      <c r="AY167" s="12"/>
      <c r="AZ167" s="12"/>
      <c r="BA167" s="12"/>
      <c r="BB167" s="12"/>
      <c r="BC167" s="12"/>
      <c r="BD167" s="12"/>
      <c r="BE167" s="12"/>
      <c r="BF167" s="12"/>
      <c r="BG167" s="12"/>
      <c r="BH167" s="12"/>
      <c r="BI167" s="12"/>
      <c r="BJ167" s="12"/>
      <c r="BK167" s="12"/>
      <c r="BL167" s="12"/>
      <c r="BM167" s="12"/>
      <c r="BN167" s="12"/>
      <c r="BO167" s="12"/>
      <c r="BP167" s="12"/>
      <c r="BQ167" s="12"/>
      <c r="BR167" s="12"/>
      <c r="BS167" s="12"/>
      <c r="BT167" s="12"/>
      <c r="BU167" s="12"/>
      <c r="BV167" s="12"/>
      <c r="BW167" s="12"/>
      <c r="BX167" s="12"/>
      <c r="BY167" s="12"/>
      <c r="BZ167" s="12"/>
      <c r="CA167" s="12"/>
    </row>
    <row r="168" spans="1:79" x14ac:dyDescent="0.3">
      <c r="A168" s="8">
        <v>2</v>
      </c>
      <c r="B168" s="8" t="s">
        <v>954</v>
      </c>
      <c r="C168" s="8">
        <v>3</v>
      </c>
      <c r="D168" s="8">
        <v>209</v>
      </c>
      <c r="E168" s="8" t="s">
        <v>951</v>
      </c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12"/>
      <c r="AW168" s="12"/>
      <c r="AX168" s="12"/>
      <c r="AY168" s="12"/>
      <c r="AZ168" s="12"/>
      <c r="BA168" s="12"/>
      <c r="BB168" s="12"/>
      <c r="BC168" s="12"/>
      <c r="BD168" s="12"/>
      <c r="BE168" s="12"/>
      <c r="BF168" s="12"/>
      <c r="BG168" s="12"/>
      <c r="BH168" s="12"/>
      <c r="BI168" s="12"/>
      <c r="BJ168" s="12"/>
      <c r="BK168" s="12"/>
      <c r="BL168" s="12"/>
      <c r="BM168" s="12"/>
      <c r="BN168" s="12"/>
      <c r="BO168" s="12"/>
      <c r="BP168" s="12"/>
      <c r="BQ168" s="12"/>
      <c r="BR168" s="12"/>
      <c r="BS168" s="12"/>
      <c r="BT168" s="12"/>
      <c r="BU168" s="12"/>
      <c r="BV168" s="12"/>
      <c r="BW168" s="12"/>
      <c r="BX168" s="12"/>
      <c r="BY168" s="12"/>
      <c r="BZ168" s="12"/>
      <c r="CA168" s="12"/>
    </row>
    <row r="169" spans="1:79" x14ac:dyDescent="0.3">
      <c r="A169" s="8">
        <v>2</v>
      </c>
      <c r="B169" s="8" t="s">
        <v>954</v>
      </c>
      <c r="C169" s="8">
        <v>3</v>
      </c>
      <c r="D169" s="8">
        <v>210</v>
      </c>
      <c r="E169" s="8" t="s">
        <v>951</v>
      </c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12"/>
      <c r="AW169" s="12"/>
      <c r="AX169" s="12"/>
      <c r="AY169" s="12"/>
      <c r="AZ169" s="12"/>
      <c r="BA169" s="12"/>
      <c r="BB169" s="12"/>
      <c r="BC169" s="12"/>
      <c r="BD169" s="12"/>
      <c r="BE169" s="12"/>
      <c r="BF169" s="12"/>
      <c r="BG169" s="12"/>
      <c r="BH169" s="12"/>
      <c r="BI169" s="12"/>
      <c r="BJ169" s="12"/>
      <c r="BK169" s="12"/>
      <c r="BL169" s="12"/>
      <c r="BM169" s="12"/>
      <c r="BN169" s="12"/>
      <c r="BO169" s="12"/>
      <c r="BP169" s="12"/>
      <c r="BQ169" s="12"/>
      <c r="BR169" s="12"/>
      <c r="BS169" s="12"/>
      <c r="BT169" s="12"/>
      <c r="BU169" s="12"/>
      <c r="BV169" s="12"/>
      <c r="BW169" s="12"/>
      <c r="BX169" s="12"/>
      <c r="BY169" s="12"/>
      <c r="BZ169" s="12"/>
      <c r="CA169" s="12"/>
    </row>
    <row r="170" spans="1:79" x14ac:dyDescent="0.3">
      <c r="A170" s="8">
        <v>2</v>
      </c>
      <c r="B170" s="8" t="s">
        <v>954</v>
      </c>
      <c r="C170" s="8">
        <v>6</v>
      </c>
      <c r="D170" s="8">
        <v>211</v>
      </c>
      <c r="E170" s="8" t="s">
        <v>950</v>
      </c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12"/>
      <c r="AW170" s="12"/>
      <c r="AX170" s="12"/>
      <c r="AY170" s="12"/>
      <c r="AZ170" s="12"/>
      <c r="BA170" s="12"/>
      <c r="BB170" s="12"/>
      <c r="BC170" s="12"/>
      <c r="BD170" s="12"/>
      <c r="BE170" s="12"/>
      <c r="BF170" s="12"/>
      <c r="BG170" s="12"/>
      <c r="BH170" s="12"/>
      <c r="BI170" s="12"/>
      <c r="BJ170" s="12"/>
      <c r="BK170" s="12"/>
      <c r="BL170" s="12"/>
      <c r="BM170" s="12"/>
      <c r="BN170" s="12"/>
      <c r="BO170" s="12"/>
      <c r="BP170" s="12"/>
      <c r="BQ170" s="12"/>
      <c r="BR170" s="12"/>
      <c r="BS170" s="12"/>
      <c r="BT170" s="12"/>
      <c r="BU170" s="12"/>
      <c r="BV170" s="12"/>
      <c r="BW170" s="12"/>
      <c r="BX170" s="12"/>
      <c r="BY170" s="12"/>
      <c r="BZ170" s="12"/>
      <c r="CA170" s="12"/>
    </row>
    <row r="171" spans="1:79" x14ac:dyDescent="0.3">
      <c r="A171" s="8">
        <v>2</v>
      </c>
      <c r="B171" s="8" t="s">
        <v>954</v>
      </c>
      <c r="C171" s="8">
        <v>6</v>
      </c>
      <c r="D171" s="8">
        <v>212</v>
      </c>
      <c r="E171" s="8" t="s">
        <v>950</v>
      </c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12"/>
      <c r="AW171" s="12"/>
      <c r="AX171" s="12"/>
      <c r="AY171" s="12"/>
      <c r="AZ171" s="12"/>
      <c r="BA171" s="12"/>
      <c r="BB171" s="12"/>
      <c r="BC171" s="12"/>
      <c r="BD171" s="12"/>
      <c r="BE171" s="12"/>
      <c r="BF171" s="12"/>
      <c r="BG171" s="12"/>
      <c r="BH171" s="12"/>
      <c r="BI171" s="12"/>
      <c r="BJ171" s="12"/>
      <c r="BK171" s="12"/>
      <c r="BL171" s="12"/>
      <c r="BM171" s="12"/>
      <c r="BN171" s="12"/>
      <c r="BO171" s="12"/>
      <c r="BP171" s="12"/>
      <c r="BQ171" s="12"/>
      <c r="BR171" s="12"/>
      <c r="BS171" s="12"/>
      <c r="BT171" s="12"/>
      <c r="BU171" s="12"/>
      <c r="BV171" s="12"/>
      <c r="BW171" s="12"/>
      <c r="BX171" s="12"/>
      <c r="BY171" s="12"/>
      <c r="BZ171" s="12"/>
      <c r="CA171" s="12"/>
    </row>
    <row r="172" spans="1:79" x14ac:dyDescent="0.3">
      <c r="A172" s="8">
        <v>2</v>
      </c>
      <c r="B172" s="8" t="s">
        <v>954</v>
      </c>
      <c r="C172" s="8">
        <v>6</v>
      </c>
      <c r="D172" s="8">
        <v>213</v>
      </c>
      <c r="E172" s="8" t="s">
        <v>950</v>
      </c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12"/>
      <c r="AW172" s="12"/>
      <c r="AX172" s="12"/>
      <c r="AY172" s="12"/>
      <c r="AZ172" s="12"/>
      <c r="BA172" s="12"/>
      <c r="BB172" s="12"/>
      <c r="BC172" s="12"/>
      <c r="BD172" s="12"/>
      <c r="BE172" s="12"/>
      <c r="BF172" s="12"/>
      <c r="BG172" s="12"/>
      <c r="BH172" s="12"/>
      <c r="BI172" s="12"/>
      <c r="BJ172" s="12"/>
      <c r="BK172" s="12"/>
      <c r="BL172" s="12"/>
      <c r="BM172" s="12"/>
      <c r="BN172" s="12"/>
      <c r="BO172" s="12"/>
      <c r="BP172" s="12"/>
      <c r="BQ172" s="12"/>
      <c r="BR172" s="12"/>
      <c r="BS172" s="12"/>
      <c r="BT172" s="12"/>
      <c r="BU172" s="12"/>
      <c r="BV172" s="12"/>
      <c r="BW172" s="12"/>
      <c r="BX172" s="12"/>
      <c r="BY172" s="12"/>
      <c r="BZ172" s="12"/>
      <c r="CA172" s="12"/>
    </row>
    <row r="173" spans="1:79" x14ac:dyDescent="0.3">
      <c r="A173" s="8">
        <v>2</v>
      </c>
      <c r="B173" s="8" t="s">
        <v>954</v>
      </c>
      <c r="C173" s="8">
        <v>6</v>
      </c>
      <c r="D173" s="8">
        <v>214</v>
      </c>
      <c r="E173" s="8" t="s">
        <v>951</v>
      </c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12"/>
      <c r="AW173" s="12"/>
      <c r="AX173" s="12"/>
      <c r="AY173" s="12"/>
      <c r="AZ173" s="12"/>
      <c r="BA173" s="12"/>
      <c r="BB173" s="12"/>
      <c r="BC173" s="12"/>
      <c r="BD173" s="12"/>
      <c r="BE173" s="12"/>
      <c r="BF173" s="12"/>
      <c r="BG173" s="12"/>
      <c r="BH173" s="12"/>
      <c r="BI173" s="12"/>
      <c r="BJ173" s="12"/>
      <c r="BK173" s="12"/>
      <c r="BL173" s="12"/>
      <c r="BM173" s="12"/>
      <c r="BN173" s="12"/>
      <c r="BO173" s="12"/>
      <c r="BP173" s="12"/>
      <c r="BQ173" s="12"/>
      <c r="BR173" s="12"/>
      <c r="BS173" s="12"/>
      <c r="BT173" s="12"/>
      <c r="BU173" s="12"/>
      <c r="BV173" s="12"/>
      <c r="BW173" s="12"/>
      <c r="BX173" s="12"/>
      <c r="BY173" s="12"/>
      <c r="BZ173" s="12"/>
      <c r="CA173" s="12"/>
    </row>
    <row r="174" spans="1:79" x14ac:dyDescent="0.3">
      <c r="A174" s="8">
        <v>2</v>
      </c>
      <c r="B174" s="8" t="s">
        <v>954</v>
      </c>
      <c r="C174" s="8">
        <v>6</v>
      </c>
      <c r="D174" s="8">
        <v>215</v>
      </c>
      <c r="E174" s="8" t="s">
        <v>951</v>
      </c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12"/>
      <c r="AW174" s="12"/>
      <c r="AX174" s="12"/>
      <c r="AY174" s="12"/>
      <c r="AZ174" s="12"/>
      <c r="BA174" s="12"/>
      <c r="BB174" s="12"/>
      <c r="BC174" s="12"/>
      <c r="BD174" s="12"/>
      <c r="BE174" s="12"/>
      <c r="BF174" s="12"/>
      <c r="BG174" s="12"/>
      <c r="BH174" s="12"/>
      <c r="BI174" s="12"/>
      <c r="BJ174" s="12"/>
      <c r="BK174" s="12"/>
      <c r="BL174" s="12"/>
      <c r="BM174" s="12"/>
      <c r="BN174" s="12"/>
      <c r="BO174" s="12"/>
      <c r="BP174" s="12"/>
      <c r="BQ174" s="12"/>
      <c r="BR174" s="12"/>
      <c r="BS174" s="12"/>
      <c r="BT174" s="12"/>
      <c r="BU174" s="12"/>
      <c r="BV174" s="12"/>
      <c r="BW174" s="12"/>
      <c r="BX174" s="12"/>
      <c r="BY174" s="12"/>
      <c r="BZ174" s="12"/>
      <c r="CA174" s="12"/>
    </row>
    <row r="175" spans="1:79" x14ac:dyDescent="0.3">
      <c r="A175" s="8">
        <v>2</v>
      </c>
      <c r="B175" s="8" t="s">
        <v>954</v>
      </c>
      <c r="C175" s="8">
        <v>6</v>
      </c>
      <c r="D175" s="8">
        <v>216</v>
      </c>
      <c r="E175" s="8" t="s">
        <v>950</v>
      </c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12"/>
      <c r="AW175" s="12"/>
      <c r="AX175" s="12"/>
      <c r="AY175" s="12"/>
      <c r="AZ175" s="12"/>
      <c r="BA175" s="12"/>
      <c r="BB175" s="12"/>
      <c r="BC175" s="12"/>
      <c r="BD175" s="12"/>
      <c r="BE175" s="12"/>
      <c r="BF175" s="12"/>
      <c r="BG175" s="12"/>
      <c r="BH175" s="12"/>
      <c r="BI175" s="12"/>
      <c r="BJ175" s="12"/>
      <c r="BK175" s="12"/>
      <c r="BL175" s="12"/>
      <c r="BM175" s="12"/>
      <c r="BN175" s="12"/>
      <c r="BO175" s="12"/>
      <c r="BP175" s="12"/>
      <c r="BQ175" s="12"/>
      <c r="BR175" s="12"/>
      <c r="BS175" s="12"/>
      <c r="BT175" s="12"/>
      <c r="BU175" s="12"/>
      <c r="BV175" s="12"/>
      <c r="BW175" s="12"/>
      <c r="BX175" s="12"/>
      <c r="BY175" s="12"/>
      <c r="BZ175" s="12"/>
      <c r="CA175" s="12"/>
    </row>
    <row r="176" spans="1:79" x14ac:dyDescent="0.3">
      <c r="A176" s="8">
        <v>2</v>
      </c>
      <c r="B176" s="8" t="s">
        <v>954</v>
      </c>
      <c r="C176" s="8">
        <v>6</v>
      </c>
      <c r="D176" s="8">
        <v>217</v>
      </c>
      <c r="E176" s="8" t="s">
        <v>950</v>
      </c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12"/>
      <c r="AW176" s="12"/>
      <c r="AX176" s="12"/>
      <c r="AY176" s="12"/>
      <c r="AZ176" s="12"/>
      <c r="BA176" s="12"/>
      <c r="BB176" s="12"/>
      <c r="BC176" s="12"/>
      <c r="BD176" s="12"/>
      <c r="BE176" s="12"/>
      <c r="BF176" s="12"/>
      <c r="BG176" s="12"/>
      <c r="BH176" s="12"/>
      <c r="BI176" s="12"/>
      <c r="BJ176" s="12"/>
      <c r="BK176" s="12"/>
      <c r="BL176" s="12"/>
      <c r="BM176" s="12"/>
      <c r="BN176" s="12"/>
      <c r="BO176" s="12"/>
      <c r="BP176" s="12"/>
      <c r="BQ176" s="12"/>
      <c r="BR176" s="12"/>
      <c r="BS176" s="12"/>
      <c r="BT176" s="12"/>
      <c r="BU176" s="12"/>
      <c r="BV176" s="12"/>
      <c r="BW176" s="12"/>
      <c r="BX176" s="12"/>
      <c r="BY176" s="12"/>
      <c r="BZ176" s="12"/>
      <c r="CA176" s="12"/>
    </row>
    <row r="177" spans="1:79" x14ac:dyDescent="0.3">
      <c r="A177" s="8">
        <v>2</v>
      </c>
      <c r="B177" s="8" t="s">
        <v>954</v>
      </c>
      <c r="C177" s="8">
        <v>6</v>
      </c>
      <c r="D177" s="8">
        <v>218</v>
      </c>
      <c r="E177" s="8" t="s">
        <v>950</v>
      </c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12"/>
      <c r="AW177" s="12"/>
      <c r="AX177" s="12"/>
      <c r="AY177" s="12"/>
      <c r="AZ177" s="12"/>
      <c r="BA177" s="12"/>
      <c r="BB177" s="12"/>
      <c r="BC177" s="12"/>
      <c r="BD177" s="12"/>
      <c r="BE177" s="12"/>
      <c r="BF177" s="12"/>
      <c r="BG177" s="12"/>
      <c r="BH177" s="12"/>
      <c r="BI177" s="12"/>
      <c r="BJ177" s="12"/>
      <c r="BK177" s="12"/>
      <c r="BL177" s="12"/>
      <c r="BM177" s="12"/>
      <c r="BN177" s="12"/>
      <c r="BO177" s="12"/>
      <c r="BP177" s="12"/>
      <c r="BQ177" s="12"/>
      <c r="BR177" s="12"/>
      <c r="BS177" s="12"/>
      <c r="BT177" s="12"/>
      <c r="BU177" s="12"/>
      <c r="BV177" s="12"/>
      <c r="BW177" s="12"/>
      <c r="BX177" s="12"/>
      <c r="BY177" s="12"/>
      <c r="BZ177" s="12"/>
      <c r="CA177" s="12"/>
    </row>
    <row r="178" spans="1:79" x14ac:dyDescent="0.3">
      <c r="A178" s="8">
        <v>2</v>
      </c>
      <c r="B178" s="8" t="s">
        <v>954</v>
      </c>
      <c r="C178" s="8">
        <v>6</v>
      </c>
      <c r="D178" s="8">
        <v>219</v>
      </c>
      <c r="E178" s="8" t="s">
        <v>950</v>
      </c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12"/>
      <c r="AW178" s="12"/>
      <c r="AX178" s="12"/>
      <c r="AY178" s="12"/>
      <c r="AZ178" s="12"/>
      <c r="BA178" s="12"/>
      <c r="BB178" s="12"/>
      <c r="BC178" s="12"/>
      <c r="BD178" s="12"/>
      <c r="BE178" s="12"/>
      <c r="BF178" s="12"/>
      <c r="BG178" s="12"/>
      <c r="BH178" s="12"/>
      <c r="BI178" s="12"/>
      <c r="BJ178" s="12"/>
      <c r="BK178" s="12"/>
      <c r="BL178" s="12"/>
      <c r="BM178" s="12"/>
      <c r="BN178" s="12"/>
      <c r="BO178" s="12"/>
      <c r="BP178" s="12"/>
      <c r="BQ178" s="12"/>
      <c r="BR178" s="12"/>
      <c r="BS178" s="12"/>
      <c r="BT178" s="12"/>
      <c r="BU178" s="12"/>
      <c r="BV178" s="12"/>
      <c r="BW178" s="12"/>
      <c r="BX178" s="12"/>
      <c r="BY178" s="12"/>
      <c r="BZ178" s="12"/>
      <c r="CA178" s="12"/>
    </row>
    <row r="179" spans="1:79" x14ac:dyDescent="0.3">
      <c r="A179" s="8">
        <v>2</v>
      </c>
      <c r="B179" s="8" t="s">
        <v>954</v>
      </c>
      <c r="C179" s="8">
        <v>6</v>
      </c>
      <c r="D179" s="8">
        <v>220</v>
      </c>
      <c r="E179" s="8" t="s">
        <v>951</v>
      </c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12"/>
      <c r="AW179" s="12"/>
      <c r="AX179" s="12"/>
      <c r="AY179" s="12"/>
      <c r="AZ179" s="12"/>
      <c r="BA179" s="12"/>
      <c r="BB179" s="12"/>
      <c r="BC179" s="12"/>
      <c r="BD179" s="12"/>
      <c r="BE179" s="12"/>
      <c r="BF179" s="12"/>
      <c r="BG179" s="12"/>
      <c r="BH179" s="12"/>
      <c r="BI179" s="12"/>
      <c r="BJ179" s="12"/>
      <c r="BK179" s="12"/>
      <c r="BL179" s="12"/>
      <c r="BM179" s="12"/>
      <c r="BN179" s="12"/>
      <c r="BO179" s="12"/>
      <c r="BP179" s="12"/>
      <c r="BQ179" s="12"/>
      <c r="BR179" s="12"/>
      <c r="BS179" s="12"/>
      <c r="BT179" s="12"/>
      <c r="BU179" s="12"/>
      <c r="BV179" s="12"/>
      <c r="BW179" s="12"/>
      <c r="BX179" s="12"/>
      <c r="BY179" s="12"/>
      <c r="BZ179" s="12"/>
      <c r="CA179" s="12"/>
    </row>
    <row r="180" spans="1:79" x14ac:dyDescent="0.3">
      <c r="A180" s="8">
        <v>2</v>
      </c>
      <c r="B180" s="8" t="s">
        <v>954</v>
      </c>
      <c r="C180" s="8">
        <v>6</v>
      </c>
      <c r="D180" s="8">
        <v>221</v>
      </c>
      <c r="E180" s="8" t="s">
        <v>951</v>
      </c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12"/>
      <c r="AW180" s="12"/>
      <c r="AX180" s="12"/>
      <c r="AY180" s="12"/>
      <c r="AZ180" s="12"/>
      <c r="BA180" s="12"/>
      <c r="BB180" s="12"/>
      <c r="BC180" s="12"/>
      <c r="BD180" s="12"/>
      <c r="BE180" s="12"/>
      <c r="BF180" s="12"/>
      <c r="BG180" s="12"/>
      <c r="BH180" s="12"/>
      <c r="BI180" s="12"/>
      <c r="BJ180" s="12"/>
      <c r="BK180" s="12"/>
      <c r="BL180" s="12"/>
      <c r="BM180" s="12"/>
      <c r="BN180" s="12"/>
      <c r="BO180" s="12"/>
      <c r="BP180" s="12"/>
      <c r="BQ180" s="12"/>
      <c r="BR180" s="12"/>
      <c r="BS180" s="12"/>
      <c r="BT180" s="12"/>
      <c r="BU180" s="12"/>
      <c r="BV180" s="12"/>
      <c r="BW180" s="12"/>
      <c r="BX180" s="12"/>
      <c r="BY180" s="12"/>
      <c r="BZ180" s="12"/>
      <c r="CA180" s="12"/>
    </row>
    <row r="181" spans="1:79" x14ac:dyDescent="0.3">
      <c r="A181" s="8">
        <v>2</v>
      </c>
      <c r="B181" s="8" t="s">
        <v>954</v>
      </c>
      <c r="C181" s="8">
        <v>6</v>
      </c>
      <c r="D181" s="8">
        <v>222</v>
      </c>
      <c r="E181" s="8" t="s">
        <v>950</v>
      </c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12"/>
      <c r="AW181" s="12"/>
      <c r="AX181" s="12"/>
      <c r="AY181" s="12"/>
      <c r="AZ181" s="12"/>
      <c r="BA181" s="12"/>
      <c r="BB181" s="12"/>
      <c r="BC181" s="12"/>
      <c r="BD181" s="12"/>
      <c r="BE181" s="12"/>
      <c r="BF181" s="12"/>
      <c r="BG181" s="12"/>
      <c r="BH181" s="12"/>
      <c r="BI181" s="12"/>
      <c r="BJ181" s="12"/>
      <c r="BK181" s="12"/>
      <c r="BL181" s="12"/>
      <c r="BM181" s="12"/>
      <c r="BN181" s="12"/>
      <c r="BO181" s="12"/>
      <c r="BP181" s="12"/>
      <c r="BQ181" s="12"/>
      <c r="BR181" s="12"/>
      <c r="BS181" s="12"/>
      <c r="BT181" s="12"/>
      <c r="BU181" s="12"/>
      <c r="BV181" s="12"/>
      <c r="BW181" s="12"/>
      <c r="BX181" s="12"/>
      <c r="BY181" s="12"/>
      <c r="BZ181" s="12"/>
      <c r="CA181" s="12"/>
    </row>
    <row r="182" spans="1:79" x14ac:dyDescent="0.3">
      <c r="A182" s="8">
        <v>2</v>
      </c>
      <c r="B182" s="8" t="s">
        <v>954</v>
      </c>
      <c r="C182" s="8">
        <v>6</v>
      </c>
      <c r="D182" s="8">
        <v>223</v>
      </c>
      <c r="E182" s="8" t="s">
        <v>951</v>
      </c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12"/>
      <c r="AW182" s="12"/>
      <c r="AX182" s="12"/>
      <c r="AY182" s="12"/>
      <c r="AZ182" s="12"/>
      <c r="BA182" s="12"/>
      <c r="BB182" s="12"/>
      <c r="BC182" s="12"/>
      <c r="BD182" s="12"/>
      <c r="BE182" s="12"/>
      <c r="BF182" s="12"/>
      <c r="BG182" s="12"/>
      <c r="BH182" s="12"/>
      <c r="BI182" s="12"/>
      <c r="BJ182" s="12"/>
      <c r="BK182" s="12"/>
      <c r="BL182" s="12"/>
      <c r="BM182" s="12"/>
      <c r="BN182" s="12"/>
      <c r="BO182" s="12"/>
      <c r="BP182" s="12"/>
      <c r="BQ182" s="12"/>
      <c r="BR182" s="12"/>
      <c r="BS182" s="12"/>
      <c r="BT182" s="12"/>
      <c r="BU182" s="12"/>
      <c r="BV182" s="12"/>
      <c r="BW182" s="12"/>
      <c r="BX182" s="12"/>
      <c r="BY182" s="12"/>
      <c r="BZ182" s="12"/>
      <c r="CA182" s="12"/>
    </row>
    <row r="183" spans="1:79" x14ac:dyDescent="0.3">
      <c r="A183" s="8">
        <v>2</v>
      </c>
      <c r="B183" s="8" t="s">
        <v>954</v>
      </c>
      <c r="C183" s="8">
        <v>6</v>
      </c>
      <c r="D183" s="8">
        <v>224</v>
      </c>
      <c r="E183" s="8" t="s">
        <v>950</v>
      </c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12"/>
      <c r="AW183" s="12"/>
      <c r="AX183" s="12"/>
      <c r="AY183" s="12"/>
      <c r="AZ183" s="12"/>
      <c r="BA183" s="12"/>
      <c r="BB183" s="12"/>
      <c r="BC183" s="12"/>
      <c r="BD183" s="12"/>
      <c r="BE183" s="12"/>
      <c r="BF183" s="12"/>
      <c r="BG183" s="12"/>
      <c r="BH183" s="12"/>
      <c r="BI183" s="12"/>
      <c r="BJ183" s="12"/>
      <c r="BK183" s="12"/>
      <c r="BL183" s="12"/>
      <c r="BM183" s="12"/>
      <c r="BN183" s="12"/>
      <c r="BO183" s="12"/>
      <c r="BP183" s="12"/>
      <c r="BQ183" s="12"/>
      <c r="BR183" s="12"/>
      <c r="BS183" s="12"/>
      <c r="BT183" s="12"/>
      <c r="BU183" s="12"/>
      <c r="BV183" s="12"/>
      <c r="BW183" s="12"/>
      <c r="BX183" s="12"/>
      <c r="BY183" s="12"/>
      <c r="BZ183" s="12"/>
      <c r="CA183" s="12"/>
    </row>
    <row r="184" spans="1:79" x14ac:dyDescent="0.3">
      <c r="A184" s="8">
        <v>2</v>
      </c>
      <c r="B184" s="8" t="s">
        <v>954</v>
      </c>
      <c r="C184" s="8">
        <v>6</v>
      </c>
      <c r="D184" s="8">
        <v>225</v>
      </c>
      <c r="E184" s="8" t="s">
        <v>951</v>
      </c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12"/>
      <c r="AW184" s="12"/>
      <c r="AX184" s="12"/>
      <c r="AY184" s="12"/>
      <c r="AZ184" s="12"/>
      <c r="BA184" s="12"/>
      <c r="BB184" s="12"/>
      <c r="BC184" s="12"/>
      <c r="BD184" s="12"/>
      <c r="BE184" s="12"/>
      <c r="BF184" s="12"/>
      <c r="BG184" s="12"/>
      <c r="BH184" s="12"/>
      <c r="BI184" s="12"/>
      <c r="BJ184" s="12"/>
      <c r="BK184" s="12"/>
      <c r="BL184" s="12"/>
      <c r="BM184" s="12"/>
      <c r="BN184" s="12"/>
      <c r="BO184" s="12"/>
      <c r="BP184" s="12"/>
      <c r="BQ184" s="12"/>
      <c r="BR184" s="12"/>
      <c r="BS184" s="12"/>
      <c r="BT184" s="12"/>
      <c r="BU184" s="12"/>
      <c r="BV184" s="12"/>
      <c r="BW184" s="12"/>
      <c r="BX184" s="12"/>
      <c r="BY184" s="12"/>
      <c r="BZ184" s="12"/>
      <c r="CA184" s="12"/>
    </row>
    <row r="185" spans="1:79" x14ac:dyDescent="0.3">
      <c r="A185" s="8">
        <v>2</v>
      </c>
      <c r="B185" s="8" t="s">
        <v>954</v>
      </c>
      <c r="C185" s="8">
        <v>6</v>
      </c>
      <c r="D185" s="8">
        <v>226</v>
      </c>
      <c r="E185" s="8" t="s">
        <v>951</v>
      </c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12"/>
      <c r="AW185" s="12"/>
      <c r="AX185" s="12"/>
      <c r="AY185" s="12"/>
      <c r="AZ185" s="12"/>
      <c r="BA185" s="12"/>
      <c r="BB185" s="12"/>
      <c r="BC185" s="12"/>
      <c r="BD185" s="12"/>
      <c r="BE185" s="12"/>
      <c r="BF185" s="12"/>
      <c r="BG185" s="12"/>
      <c r="BH185" s="12"/>
      <c r="BI185" s="12"/>
      <c r="BJ185" s="12"/>
      <c r="BK185" s="12"/>
      <c r="BL185" s="12"/>
      <c r="BM185" s="12"/>
      <c r="BN185" s="12"/>
      <c r="BO185" s="12"/>
      <c r="BP185" s="12"/>
      <c r="BQ185" s="12"/>
      <c r="BR185" s="12"/>
      <c r="BS185" s="12"/>
      <c r="BT185" s="12"/>
      <c r="BU185" s="12"/>
      <c r="BV185" s="12"/>
      <c r="BW185" s="12"/>
      <c r="BX185" s="12"/>
      <c r="BY185" s="12"/>
      <c r="BZ185" s="12"/>
      <c r="CA185" s="12"/>
    </row>
    <row r="186" spans="1:79" x14ac:dyDescent="0.3">
      <c r="A186" s="8">
        <v>2</v>
      </c>
      <c r="B186" s="8" t="s">
        <v>954</v>
      </c>
      <c r="C186" s="8">
        <v>6</v>
      </c>
      <c r="D186" s="8">
        <v>227</v>
      </c>
      <c r="E186" s="8" t="s">
        <v>950</v>
      </c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12"/>
      <c r="AW186" s="12"/>
      <c r="AX186" s="12"/>
      <c r="AY186" s="12"/>
      <c r="AZ186" s="12"/>
      <c r="BA186" s="12"/>
      <c r="BB186" s="12"/>
      <c r="BC186" s="12"/>
      <c r="BD186" s="12"/>
      <c r="BE186" s="12"/>
      <c r="BF186" s="12"/>
      <c r="BG186" s="12"/>
      <c r="BH186" s="12"/>
      <c r="BI186" s="12"/>
      <c r="BJ186" s="12"/>
      <c r="BK186" s="12"/>
      <c r="BL186" s="12"/>
      <c r="BM186" s="12"/>
      <c r="BN186" s="12"/>
      <c r="BO186" s="12"/>
      <c r="BP186" s="12"/>
      <c r="BQ186" s="12"/>
      <c r="BR186" s="12"/>
      <c r="BS186" s="12"/>
      <c r="BT186" s="12"/>
      <c r="BU186" s="12"/>
      <c r="BV186" s="12"/>
      <c r="BW186" s="12"/>
      <c r="BX186" s="12"/>
      <c r="BY186" s="12"/>
      <c r="BZ186" s="12"/>
      <c r="CA186" s="12"/>
    </row>
    <row r="187" spans="1:79" x14ac:dyDescent="0.3">
      <c r="A187" s="8">
        <v>2</v>
      </c>
      <c r="B187" s="8" t="s">
        <v>954</v>
      </c>
      <c r="C187" s="8">
        <v>6</v>
      </c>
      <c r="D187" s="8">
        <v>228</v>
      </c>
      <c r="E187" s="8" t="s">
        <v>950</v>
      </c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12"/>
      <c r="AW187" s="12"/>
      <c r="AX187" s="12"/>
      <c r="AY187" s="12"/>
      <c r="AZ187" s="12"/>
      <c r="BA187" s="12"/>
      <c r="BB187" s="12"/>
      <c r="BC187" s="12"/>
      <c r="BD187" s="12"/>
      <c r="BE187" s="12"/>
      <c r="BF187" s="12"/>
      <c r="BG187" s="12"/>
      <c r="BH187" s="12"/>
      <c r="BI187" s="12"/>
      <c r="BJ187" s="12"/>
      <c r="BK187" s="12"/>
      <c r="BL187" s="12"/>
      <c r="BM187" s="12"/>
      <c r="BN187" s="12"/>
      <c r="BO187" s="12"/>
      <c r="BP187" s="12"/>
      <c r="BQ187" s="12"/>
      <c r="BR187" s="12"/>
      <c r="BS187" s="12"/>
      <c r="BT187" s="12"/>
      <c r="BU187" s="12"/>
      <c r="BV187" s="12"/>
      <c r="BW187" s="12"/>
      <c r="BX187" s="12"/>
      <c r="BY187" s="12"/>
      <c r="BZ187" s="12"/>
      <c r="CA187" s="12"/>
    </row>
    <row r="188" spans="1:79" x14ac:dyDescent="0.3">
      <c r="A188" s="8">
        <v>2</v>
      </c>
      <c r="B188" s="8" t="s">
        <v>954</v>
      </c>
      <c r="C188" s="8">
        <v>6</v>
      </c>
      <c r="D188" s="8">
        <v>229</v>
      </c>
      <c r="E188" s="8" t="s">
        <v>950</v>
      </c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12"/>
      <c r="AW188" s="12"/>
      <c r="AX188" s="12"/>
      <c r="AY188" s="12"/>
      <c r="AZ188" s="12"/>
      <c r="BA188" s="12"/>
      <c r="BB188" s="12"/>
      <c r="BC188" s="12"/>
      <c r="BD188" s="12"/>
      <c r="BE188" s="12"/>
      <c r="BF188" s="12"/>
      <c r="BG188" s="12"/>
      <c r="BH188" s="12"/>
      <c r="BI188" s="12"/>
      <c r="BJ188" s="12"/>
      <c r="BK188" s="12"/>
      <c r="BL188" s="12"/>
      <c r="BM188" s="12"/>
      <c r="BN188" s="12"/>
      <c r="BO188" s="12"/>
      <c r="BP188" s="12"/>
      <c r="BQ188" s="12"/>
      <c r="BR188" s="12"/>
      <c r="BS188" s="12"/>
      <c r="BT188" s="12"/>
      <c r="BU188" s="12"/>
      <c r="BV188" s="12"/>
      <c r="BW188" s="12"/>
      <c r="BX188" s="12"/>
      <c r="BY188" s="12"/>
      <c r="BZ188" s="12"/>
      <c r="CA188" s="12"/>
    </row>
    <row r="189" spans="1:79" x14ac:dyDescent="0.3">
      <c r="A189" s="8">
        <v>3</v>
      </c>
      <c r="B189" s="8" t="s">
        <v>954</v>
      </c>
      <c r="C189" s="8">
        <v>6</v>
      </c>
      <c r="D189" s="8">
        <v>230</v>
      </c>
      <c r="E189" s="8" t="s">
        <v>951</v>
      </c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12"/>
      <c r="AW189" s="12"/>
      <c r="AX189" s="12"/>
      <c r="AY189" s="12"/>
      <c r="AZ189" s="12"/>
      <c r="BA189" s="12"/>
      <c r="BB189" s="12"/>
      <c r="BC189" s="12"/>
      <c r="BD189" s="12"/>
      <c r="BE189" s="12"/>
      <c r="BF189" s="12"/>
      <c r="BG189" s="12"/>
      <c r="BH189" s="12"/>
      <c r="BI189" s="12"/>
      <c r="BJ189" s="12"/>
      <c r="BK189" s="12"/>
      <c r="BL189" s="12"/>
      <c r="BM189" s="12"/>
      <c r="BN189" s="12"/>
      <c r="BO189" s="12"/>
      <c r="BP189" s="12"/>
      <c r="BQ189" s="12"/>
      <c r="BR189" s="12"/>
      <c r="BS189" s="12"/>
      <c r="BT189" s="12"/>
      <c r="BU189" s="12"/>
      <c r="BV189" s="12"/>
      <c r="BW189" s="12"/>
      <c r="BX189" s="12"/>
      <c r="BY189" s="12"/>
      <c r="BZ189" s="12"/>
      <c r="CA189" s="12"/>
    </row>
    <row r="190" spans="1:79" x14ac:dyDescent="0.3">
      <c r="A190" s="8">
        <v>3</v>
      </c>
      <c r="B190" s="8" t="s">
        <v>954</v>
      </c>
      <c r="C190" s="8">
        <v>6</v>
      </c>
      <c r="D190" s="8">
        <v>231</v>
      </c>
      <c r="E190" s="8" t="s">
        <v>950</v>
      </c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12"/>
      <c r="AW190" s="12"/>
      <c r="AX190" s="12"/>
      <c r="AY190" s="12"/>
      <c r="AZ190" s="12"/>
      <c r="BA190" s="12"/>
      <c r="BB190" s="12"/>
      <c r="BC190" s="12"/>
      <c r="BD190" s="12"/>
      <c r="BE190" s="12"/>
      <c r="BF190" s="12"/>
      <c r="BG190" s="12"/>
      <c r="BH190" s="12"/>
      <c r="BI190" s="12"/>
      <c r="BJ190" s="12"/>
      <c r="BK190" s="12"/>
      <c r="BL190" s="12"/>
      <c r="BM190" s="12"/>
      <c r="BN190" s="12"/>
      <c r="BO190" s="12"/>
      <c r="BP190" s="12"/>
      <c r="BQ190" s="12"/>
      <c r="BR190" s="12"/>
      <c r="BS190" s="12"/>
      <c r="BT190" s="12"/>
      <c r="BU190" s="12"/>
      <c r="BV190" s="12"/>
      <c r="BW190" s="12"/>
      <c r="BX190" s="12"/>
      <c r="BY190" s="12"/>
      <c r="BZ190" s="12"/>
      <c r="CA190" s="12"/>
    </row>
    <row r="191" spans="1:79" x14ac:dyDescent="0.3">
      <c r="A191" s="8">
        <v>3</v>
      </c>
      <c r="B191" s="8" t="s">
        <v>954</v>
      </c>
      <c r="C191" s="8">
        <v>5</v>
      </c>
      <c r="D191" s="8">
        <v>232</v>
      </c>
      <c r="E191" s="8" t="s">
        <v>951</v>
      </c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12"/>
      <c r="AW191" s="12"/>
      <c r="AX191" s="12"/>
      <c r="AY191" s="12"/>
      <c r="AZ191" s="12"/>
      <c r="BA191" s="12"/>
      <c r="BB191" s="12"/>
      <c r="BC191" s="12"/>
      <c r="BD191" s="12"/>
      <c r="BE191" s="12"/>
      <c r="BF191" s="12"/>
      <c r="BG191" s="12"/>
      <c r="BH191" s="12"/>
      <c r="BI191" s="12"/>
      <c r="BJ191" s="12"/>
      <c r="BK191" s="12"/>
      <c r="BL191" s="12"/>
      <c r="BM191" s="12"/>
      <c r="BN191" s="12"/>
      <c r="BO191" s="12"/>
      <c r="BP191" s="12"/>
      <c r="BQ191" s="12"/>
      <c r="BR191" s="12"/>
      <c r="BS191" s="12"/>
      <c r="BT191" s="12"/>
      <c r="BU191" s="12"/>
      <c r="BV191" s="12"/>
      <c r="BW191" s="12"/>
      <c r="BX191" s="12"/>
      <c r="BY191" s="12"/>
      <c r="BZ191" s="12"/>
      <c r="CA191" s="12"/>
    </row>
    <row r="192" spans="1:79" x14ac:dyDescent="0.3">
      <c r="A192" s="8">
        <v>3</v>
      </c>
      <c r="B192" s="8" t="s">
        <v>954</v>
      </c>
      <c r="C192" s="8">
        <v>5</v>
      </c>
      <c r="D192" s="8">
        <v>233</v>
      </c>
      <c r="E192" s="8" t="s">
        <v>951</v>
      </c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12"/>
      <c r="AW192" s="12"/>
      <c r="AX192" s="12"/>
      <c r="AY192" s="12"/>
      <c r="AZ192" s="12"/>
      <c r="BA192" s="12"/>
      <c r="BB192" s="12"/>
      <c r="BC192" s="12"/>
      <c r="BD192" s="12"/>
      <c r="BE192" s="12"/>
      <c r="BF192" s="12"/>
      <c r="BG192" s="12"/>
      <c r="BH192" s="12"/>
      <c r="BI192" s="12"/>
      <c r="BJ192" s="12"/>
      <c r="BK192" s="12"/>
      <c r="BL192" s="12"/>
      <c r="BM192" s="12"/>
      <c r="BN192" s="12"/>
      <c r="BO192" s="12"/>
      <c r="BP192" s="12"/>
      <c r="BQ192" s="12"/>
      <c r="BR192" s="12"/>
      <c r="BS192" s="12"/>
      <c r="BT192" s="12"/>
      <c r="BU192" s="12"/>
      <c r="BV192" s="12"/>
      <c r="BW192" s="12"/>
      <c r="BX192" s="12"/>
      <c r="BY192" s="12"/>
      <c r="BZ192" s="12"/>
      <c r="CA192" s="12"/>
    </row>
    <row r="193" spans="1:79" x14ac:dyDescent="0.3">
      <c r="A193" s="8">
        <v>3</v>
      </c>
      <c r="B193" s="8" t="s">
        <v>954</v>
      </c>
      <c r="C193" s="8">
        <v>5</v>
      </c>
      <c r="D193" s="8">
        <v>234</v>
      </c>
      <c r="E193" s="8" t="s">
        <v>951</v>
      </c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12"/>
      <c r="AW193" s="12"/>
      <c r="AX193" s="12"/>
      <c r="AY193" s="12"/>
      <c r="AZ193" s="12"/>
      <c r="BA193" s="12"/>
      <c r="BB193" s="12"/>
      <c r="BC193" s="12"/>
      <c r="BD193" s="12"/>
      <c r="BE193" s="12"/>
      <c r="BF193" s="12"/>
      <c r="BG193" s="12"/>
      <c r="BH193" s="12"/>
      <c r="BI193" s="12"/>
      <c r="BJ193" s="12"/>
      <c r="BK193" s="12"/>
      <c r="BL193" s="12"/>
      <c r="BM193" s="12"/>
      <c r="BN193" s="12"/>
      <c r="BO193" s="12"/>
      <c r="BP193" s="12"/>
      <c r="BQ193" s="12"/>
      <c r="BR193" s="12"/>
      <c r="BS193" s="12"/>
      <c r="BT193" s="12"/>
      <c r="BU193" s="12"/>
      <c r="BV193" s="12"/>
      <c r="BW193" s="12"/>
      <c r="BX193" s="12"/>
      <c r="BY193" s="12"/>
      <c r="BZ193" s="12"/>
      <c r="CA193" s="12"/>
    </row>
    <row r="194" spans="1:79" x14ac:dyDescent="0.3">
      <c r="A194" s="8">
        <v>3</v>
      </c>
      <c r="B194" s="8" t="s">
        <v>954</v>
      </c>
      <c r="C194" s="8">
        <v>5</v>
      </c>
      <c r="D194" s="8">
        <v>235</v>
      </c>
      <c r="E194" s="8" t="s">
        <v>950</v>
      </c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12"/>
      <c r="AW194" s="12"/>
      <c r="AX194" s="12"/>
      <c r="AY194" s="12"/>
      <c r="AZ194" s="12"/>
      <c r="BA194" s="12"/>
      <c r="BB194" s="12"/>
      <c r="BC194" s="12"/>
      <c r="BD194" s="12"/>
      <c r="BE194" s="12"/>
      <c r="BF194" s="12"/>
      <c r="BG194" s="12"/>
      <c r="BH194" s="12"/>
      <c r="BI194" s="12"/>
      <c r="BJ194" s="12"/>
      <c r="BK194" s="12"/>
      <c r="BL194" s="12"/>
      <c r="BM194" s="12"/>
      <c r="BN194" s="12"/>
      <c r="BO194" s="12"/>
      <c r="BP194" s="12"/>
      <c r="BQ194" s="12"/>
      <c r="BR194" s="12"/>
      <c r="BS194" s="12"/>
      <c r="BT194" s="12"/>
      <c r="BU194" s="12"/>
      <c r="BV194" s="12"/>
      <c r="BW194" s="12"/>
      <c r="BX194" s="12"/>
      <c r="BY194" s="12"/>
      <c r="BZ194" s="12"/>
      <c r="CA194" s="12"/>
    </row>
    <row r="195" spans="1:79" x14ac:dyDescent="0.3">
      <c r="A195" s="8">
        <v>3</v>
      </c>
      <c r="B195" s="8" t="s">
        <v>954</v>
      </c>
      <c r="C195" s="8">
        <v>5</v>
      </c>
      <c r="D195" s="8">
        <v>236</v>
      </c>
      <c r="E195" s="8" t="s">
        <v>951</v>
      </c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12"/>
      <c r="AW195" s="12"/>
      <c r="AX195" s="12"/>
      <c r="AY195" s="12"/>
      <c r="AZ195" s="12"/>
      <c r="BA195" s="12"/>
      <c r="BB195" s="12"/>
      <c r="BC195" s="12"/>
      <c r="BD195" s="12"/>
      <c r="BE195" s="12"/>
      <c r="BF195" s="12"/>
      <c r="BG195" s="12"/>
      <c r="BH195" s="12"/>
      <c r="BI195" s="12"/>
      <c r="BJ195" s="12"/>
      <c r="BK195" s="12"/>
      <c r="BL195" s="12"/>
      <c r="BM195" s="12"/>
      <c r="BN195" s="12"/>
      <c r="BO195" s="12"/>
      <c r="BP195" s="12"/>
      <c r="BQ195" s="12"/>
      <c r="BR195" s="12"/>
      <c r="BS195" s="12"/>
      <c r="BT195" s="12"/>
      <c r="BU195" s="12"/>
      <c r="BV195" s="12"/>
      <c r="BW195" s="12"/>
      <c r="BX195" s="12"/>
      <c r="BY195" s="12"/>
      <c r="BZ195" s="12"/>
      <c r="CA195" s="12"/>
    </row>
    <row r="196" spans="1:79" x14ac:dyDescent="0.3">
      <c r="A196" s="8">
        <v>3</v>
      </c>
      <c r="B196" s="8" t="s">
        <v>954</v>
      </c>
      <c r="C196" s="8">
        <v>5</v>
      </c>
      <c r="D196" s="8">
        <v>237</v>
      </c>
      <c r="E196" s="8" t="s">
        <v>951</v>
      </c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12"/>
      <c r="AW196" s="12"/>
      <c r="AX196" s="12"/>
      <c r="AY196" s="12"/>
      <c r="AZ196" s="12"/>
      <c r="BA196" s="12"/>
      <c r="BB196" s="12"/>
      <c r="BC196" s="12"/>
      <c r="BD196" s="12"/>
      <c r="BE196" s="12"/>
      <c r="BF196" s="12"/>
      <c r="BG196" s="12"/>
      <c r="BH196" s="12"/>
      <c r="BI196" s="12"/>
      <c r="BJ196" s="12"/>
      <c r="BK196" s="12"/>
      <c r="BL196" s="12"/>
      <c r="BM196" s="12"/>
      <c r="BN196" s="12"/>
      <c r="BO196" s="12"/>
      <c r="BP196" s="12"/>
      <c r="BQ196" s="12"/>
      <c r="BR196" s="12"/>
      <c r="BS196" s="12"/>
      <c r="BT196" s="12"/>
      <c r="BU196" s="12"/>
      <c r="BV196" s="12"/>
      <c r="BW196" s="12"/>
      <c r="BX196" s="12"/>
      <c r="BY196" s="12"/>
      <c r="BZ196" s="12"/>
      <c r="CA196" s="12"/>
    </row>
    <row r="197" spans="1:79" x14ac:dyDescent="0.3">
      <c r="A197" s="8">
        <v>3</v>
      </c>
      <c r="B197" s="8" t="s">
        <v>954</v>
      </c>
      <c r="C197" s="8">
        <v>5</v>
      </c>
      <c r="D197" s="8">
        <v>238</v>
      </c>
      <c r="E197" s="8" t="s">
        <v>950</v>
      </c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12"/>
      <c r="AW197" s="12"/>
      <c r="AX197" s="12"/>
      <c r="AY197" s="12"/>
      <c r="AZ197" s="12"/>
      <c r="BA197" s="12"/>
      <c r="BB197" s="12"/>
      <c r="BC197" s="12"/>
      <c r="BD197" s="12"/>
      <c r="BE197" s="12"/>
      <c r="BF197" s="12"/>
      <c r="BG197" s="12"/>
      <c r="BH197" s="12"/>
      <c r="BI197" s="12"/>
      <c r="BJ197" s="12"/>
      <c r="BK197" s="12"/>
      <c r="BL197" s="12"/>
      <c r="BM197" s="12"/>
      <c r="BN197" s="12"/>
      <c r="BO197" s="12"/>
      <c r="BP197" s="12"/>
      <c r="BQ197" s="12"/>
      <c r="BR197" s="12"/>
      <c r="BS197" s="12"/>
      <c r="BT197" s="12"/>
      <c r="BU197" s="12"/>
      <c r="BV197" s="12"/>
      <c r="BW197" s="12"/>
      <c r="BX197" s="12"/>
      <c r="BY197" s="12"/>
      <c r="BZ197" s="12"/>
      <c r="CA197" s="12"/>
    </row>
    <row r="198" spans="1:79" x14ac:dyDescent="0.3">
      <c r="A198" s="8">
        <v>3</v>
      </c>
      <c r="B198" s="8" t="s">
        <v>954</v>
      </c>
      <c r="C198" s="8">
        <v>5</v>
      </c>
      <c r="D198" s="8">
        <v>239</v>
      </c>
      <c r="E198" s="8" t="s">
        <v>950</v>
      </c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12"/>
      <c r="AW198" s="12"/>
      <c r="AX198" s="12"/>
      <c r="AY198" s="12"/>
      <c r="AZ198" s="12"/>
      <c r="BA198" s="12"/>
      <c r="BB198" s="12"/>
      <c r="BC198" s="12"/>
      <c r="BD198" s="12"/>
      <c r="BE198" s="12"/>
      <c r="BF198" s="12"/>
      <c r="BG198" s="12"/>
      <c r="BH198" s="12"/>
      <c r="BI198" s="12"/>
      <c r="BJ198" s="12"/>
      <c r="BK198" s="12"/>
      <c r="BL198" s="12"/>
      <c r="BM198" s="12"/>
      <c r="BN198" s="12"/>
      <c r="BO198" s="12"/>
      <c r="BP198" s="12"/>
      <c r="BQ198" s="12"/>
      <c r="BR198" s="12"/>
      <c r="BS198" s="12"/>
      <c r="BT198" s="12"/>
      <c r="BU198" s="12"/>
      <c r="BV198" s="12"/>
      <c r="BW198" s="12"/>
      <c r="BX198" s="12"/>
      <c r="BY198" s="12"/>
      <c r="BZ198" s="12"/>
      <c r="CA198" s="12"/>
    </row>
    <row r="199" spans="1:79" x14ac:dyDescent="0.3">
      <c r="A199" s="8">
        <v>3</v>
      </c>
      <c r="B199" s="8" t="s">
        <v>954</v>
      </c>
      <c r="C199" s="8">
        <v>5</v>
      </c>
      <c r="D199" s="8">
        <v>240</v>
      </c>
      <c r="E199" s="8" t="s">
        <v>951</v>
      </c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12"/>
      <c r="AW199" s="12"/>
      <c r="AX199" s="12"/>
      <c r="AY199" s="12"/>
      <c r="AZ199" s="12"/>
      <c r="BA199" s="12"/>
      <c r="BB199" s="12"/>
      <c r="BC199" s="12"/>
      <c r="BD199" s="12"/>
      <c r="BE199" s="12"/>
      <c r="BF199" s="12"/>
      <c r="BG199" s="12"/>
      <c r="BH199" s="12"/>
      <c r="BI199" s="12"/>
      <c r="BJ199" s="12"/>
      <c r="BK199" s="12"/>
      <c r="BL199" s="12"/>
      <c r="BM199" s="12"/>
      <c r="BN199" s="12"/>
      <c r="BO199" s="12"/>
      <c r="BP199" s="12"/>
      <c r="BQ199" s="12"/>
      <c r="BR199" s="12"/>
      <c r="BS199" s="12"/>
      <c r="BT199" s="12"/>
      <c r="BU199" s="12"/>
      <c r="BV199" s="12"/>
      <c r="BW199" s="12"/>
      <c r="BX199" s="12"/>
      <c r="BY199" s="12"/>
      <c r="BZ199" s="12"/>
      <c r="CA199" s="12"/>
    </row>
    <row r="200" spans="1:79" x14ac:dyDescent="0.3">
      <c r="A200" s="8">
        <v>3</v>
      </c>
      <c r="B200" s="8" t="s">
        <v>954</v>
      </c>
      <c r="C200" s="8">
        <v>5</v>
      </c>
      <c r="D200" s="8">
        <v>241</v>
      </c>
      <c r="E200" s="8" t="s">
        <v>950</v>
      </c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12"/>
      <c r="AW200" s="12"/>
      <c r="AX200" s="12"/>
      <c r="AY200" s="12"/>
      <c r="AZ200" s="12"/>
      <c r="BA200" s="12"/>
      <c r="BB200" s="12"/>
      <c r="BC200" s="12"/>
      <c r="BD200" s="12"/>
      <c r="BE200" s="12"/>
      <c r="BF200" s="12"/>
      <c r="BG200" s="12"/>
      <c r="BH200" s="12"/>
      <c r="BI200" s="12"/>
      <c r="BJ200" s="12"/>
      <c r="BK200" s="12"/>
      <c r="BL200" s="12"/>
      <c r="BM200" s="12"/>
      <c r="BN200" s="12"/>
      <c r="BO200" s="12"/>
      <c r="BP200" s="12"/>
      <c r="BQ200" s="12"/>
      <c r="BR200" s="12"/>
      <c r="BS200" s="12"/>
      <c r="BT200" s="12"/>
      <c r="BU200" s="12"/>
      <c r="BV200" s="12"/>
      <c r="BW200" s="12"/>
      <c r="BX200" s="12"/>
      <c r="BY200" s="12"/>
      <c r="BZ200" s="12"/>
      <c r="CA200" s="12"/>
    </row>
    <row r="201" spans="1:79" x14ac:dyDescent="0.3">
      <c r="A201" s="8">
        <v>3</v>
      </c>
      <c r="B201" s="8" t="s">
        <v>954</v>
      </c>
      <c r="C201" s="8">
        <v>5</v>
      </c>
      <c r="D201" s="8">
        <v>242</v>
      </c>
      <c r="E201" s="8" t="s">
        <v>951</v>
      </c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12"/>
      <c r="AW201" s="12"/>
      <c r="AX201" s="12"/>
      <c r="AY201" s="12"/>
      <c r="AZ201" s="12"/>
      <c r="BA201" s="12"/>
      <c r="BB201" s="12"/>
      <c r="BC201" s="12"/>
      <c r="BD201" s="12"/>
      <c r="BE201" s="12"/>
      <c r="BF201" s="12"/>
      <c r="BG201" s="12"/>
      <c r="BH201" s="12"/>
      <c r="BI201" s="12"/>
      <c r="BJ201" s="12"/>
      <c r="BK201" s="12"/>
      <c r="BL201" s="12"/>
      <c r="BM201" s="12"/>
      <c r="BN201" s="12"/>
      <c r="BO201" s="12"/>
      <c r="BP201" s="12"/>
      <c r="BQ201" s="12"/>
      <c r="BR201" s="12"/>
      <c r="BS201" s="12"/>
      <c r="BT201" s="12"/>
      <c r="BU201" s="12"/>
      <c r="BV201" s="12"/>
      <c r="BW201" s="12"/>
      <c r="BX201" s="12"/>
      <c r="BY201" s="12"/>
      <c r="BZ201" s="12"/>
      <c r="CA201" s="12"/>
    </row>
    <row r="202" spans="1:79" x14ac:dyDescent="0.3">
      <c r="A202" s="8">
        <v>3</v>
      </c>
      <c r="B202" s="8" t="s">
        <v>954</v>
      </c>
      <c r="C202" s="8">
        <v>5</v>
      </c>
      <c r="D202" s="8">
        <v>243</v>
      </c>
      <c r="E202" s="8" t="s">
        <v>951</v>
      </c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12"/>
      <c r="AW202" s="12"/>
      <c r="AX202" s="12"/>
      <c r="AY202" s="12"/>
      <c r="AZ202" s="12"/>
      <c r="BA202" s="12"/>
      <c r="BB202" s="12"/>
      <c r="BC202" s="12"/>
      <c r="BD202" s="12"/>
      <c r="BE202" s="12"/>
      <c r="BF202" s="12"/>
      <c r="BG202" s="12"/>
      <c r="BH202" s="12"/>
      <c r="BI202" s="12"/>
      <c r="BJ202" s="12"/>
      <c r="BK202" s="12"/>
      <c r="BL202" s="12"/>
      <c r="BM202" s="12"/>
      <c r="BN202" s="12"/>
      <c r="BO202" s="12"/>
      <c r="BP202" s="12"/>
      <c r="BQ202" s="12"/>
      <c r="BR202" s="12"/>
      <c r="BS202" s="12"/>
      <c r="BT202" s="12"/>
      <c r="BU202" s="12"/>
      <c r="BV202" s="12"/>
      <c r="BW202" s="12"/>
      <c r="BX202" s="12"/>
      <c r="BY202" s="12"/>
      <c r="BZ202" s="12"/>
      <c r="CA202" s="12"/>
    </row>
    <row r="203" spans="1:79" x14ac:dyDescent="0.3">
      <c r="A203" s="8">
        <v>3</v>
      </c>
      <c r="B203" s="8" t="s">
        <v>954</v>
      </c>
      <c r="C203" s="8">
        <v>5</v>
      </c>
      <c r="D203" s="8">
        <v>244</v>
      </c>
      <c r="E203" s="8" t="s">
        <v>950</v>
      </c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12"/>
      <c r="AW203" s="12"/>
      <c r="AX203" s="12"/>
      <c r="AY203" s="12"/>
      <c r="AZ203" s="12"/>
      <c r="BA203" s="12"/>
      <c r="BB203" s="12"/>
      <c r="BC203" s="12"/>
      <c r="BD203" s="12"/>
      <c r="BE203" s="12"/>
      <c r="BF203" s="12"/>
      <c r="BG203" s="12"/>
      <c r="BH203" s="12"/>
      <c r="BI203" s="12"/>
      <c r="BJ203" s="12"/>
      <c r="BK203" s="12"/>
      <c r="BL203" s="12"/>
      <c r="BM203" s="12"/>
      <c r="BN203" s="12"/>
      <c r="BO203" s="12"/>
      <c r="BP203" s="12"/>
      <c r="BQ203" s="12"/>
      <c r="BR203" s="12"/>
      <c r="BS203" s="12"/>
      <c r="BT203" s="12"/>
      <c r="BU203" s="12"/>
      <c r="BV203" s="12"/>
      <c r="BW203" s="12"/>
      <c r="BX203" s="12"/>
      <c r="BY203" s="12"/>
      <c r="BZ203" s="12"/>
      <c r="CA203" s="12"/>
    </row>
    <row r="204" spans="1:79" x14ac:dyDescent="0.3">
      <c r="A204" s="8">
        <v>3</v>
      </c>
      <c r="B204" s="8" t="s">
        <v>954</v>
      </c>
      <c r="C204" s="8">
        <v>5</v>
      </c>
      <c r="D204" s="8">
        <v>245</v>
      </c>
      <c r="E204" s="8" t="s">
        <v>950</v>
      </c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12"/>
      <c r="AW204" s="12"/>
      <c r="AX204" s="12"/>
      <c r="AY204" s="12"/>
      <c r="AZ204" s="12"/>
      <c r="BA204" s="12"/>
      <c r="BB204" s="12"/>
      <c r="BC204" s="12"/>
      <c r="BD204" s="12"/>
      <c r="BE204" s="12"/>
      <c r="BF204" s="12"/>
      <c r="BG204" s="12"/>
      <c r="BH204" s="12"/>
      <c r="BI204" s="12"/>
      <c r="BJ204" s="12"/>
      <c r="BK204" s="12"/>
      <c r="BL204" s="12"/>
      <c r="BM204" s="12"/>
      <c r="BN204" s="12"/>
      <c r="BO204" s="12"/>
      <c r="BP204" s="12"/>
      <c r="BQ204" s="12"/>
      <c r="BR204" s="12"/>
      <c r="BS204" s="12"/>
      <c r="BT204" s="12"/>
      <c r="BU204" s="12"/>
      <c r="BV204" s="12"/>
      <c r="BW204" s="12"/>
      <c r="BX204" s="12"/>
      <c r="BY204" s="12"/>
      <c r="BZ204" s="12"/>
      <c r="CA204" s="12"/>
    </row>
    <row r="205" spans="1:79" x14ac:dyDescent="0.3">
      <c r="A205" s="8">
        <v>3</v>
      </c>
      <c r="B205" s="8" t="s">
        <v>954</v>
      </c>
      <c r="C205" s="8">
        <v>5</v>
      </c>
      <c r="D205" s="8">
        <v>246</v>
      </c>
      <c r="E205" s="8" t="s">
        <v>951</v>
      </c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12"/>
      <c r="AW205" s="12"/>
      <c r="AX205" s="12"/>
      <c r="AY205" s="12"/>
      <c r="AZ205" s="12"/>
      <c r="BA205" s="12"/>
      <c r="BB205" s="12"/>
      <c r="BC205" s="12"/>
      <c r="BD205" s="12"/>
      <c r="BE205" s="12"/>
      <c r="BF205" s="12"/>
      <c r="BG205" s="12"/>
      <c r="BH205" s="12"/>
      <c r="BI205" s="12"/>
      <c r="BJ205" s="12"/>
      <c r="BK205" s="12"/>
      <c r="BL205" s="12"/>
      <c r="BM205" s="12"/>
      <c r="BN205" s="12"/>
      <c r="BO205" s="12"/>
      <c r="BP205" s="12"/>
      <c r="BQ205" s="12"/>
      <c r="BR205" s="12"/>
      <c r="BS205" s="12"/>
      <c r="BT205" s="12"/>
      <c r="BU205" s="12"/>
      <c r="BV205" s="12"/>
      <c r="BW205" s="12"/>
      <c r="BX205" s="12"/>
      <c r="BY205" s="12"/>
      <c r="BZ205" s="12"/>
      <c r="CA205" s="12"/>
    </row>
    <row r="206" spans="1:79" x14ac:dyDescent="0.3">
      <c r="A206" s="8">
        <v>3</v>
      </c>
      <c r="B206" s="8" t="s">
        <v>954</v>
      </c>
      <c r="C206" s="8">
        <v>5</v>
      </c>
      <c r="D206" s="8">
        <v>247</v>
      </c>
      <c r="E206" s="8" t="s">
        <v>951</v>
      </c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12"/>
      <c r="AW206" s="12"/>
      <c r="AX206" s="12"/>
      <c r="AY206" s="12"/>
      <c r="AZ206" s="12"/>
      <c r="BA206" s="12"/>
      <c r="BB206" s="12"/>
      <c r="BC206" s="12"/>
      <c r="BD206" s="12"/>
      <c r="BE206" s="12"/>
      <c r="BF206" s="12"/>
      <c r="BG206" s="12"/>
      <c r="BH206" s="12"/>
      <c r="BI206" s="12"/>
      <c r="BJ206" s="12"/>
      <c r="BK206" s="12"/>
      <c r="BL206" s="12"/>
      <c r="BM206" s="12"/>
      <c r="BN206" s="12"/>
      <c r="BO206" s="12"/>
      <c r="BP206" s="12"/>
      <c r="BQ206" s="12"/>
      <c r="BR206" s="12"/>
      <c r="BS206" s="12"/>
      <c r="BT206" s="12"/>
      <c r="BU206" s="12"/>
      <c r="BV206" s="12"/>
      <c r="BW206" s="12"/>
      <c r="BX206" s="12"/>
      <c r="BY206" s="12"/>
      <c r="BZ206" s="12"/>
      <c r="CA206" s="12"/>
    </row>
    <row r="207" spans="1:79" x14ac:dyDescent="0.3">
      <c r="A207" s="8">
        <v>3</v>
      </c>
      <c r="B207" s="8" t="s">
        <v>954</v>
      </c>
      <c r="C207" s="8">
        <v>5</v>
      </c>
      <c r="D207" s="8">
        <v>248</v>
      </c>
      <c r="E207" s="8" t="s">
        <v>950</v>
      </c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12"/>
      <c r="AW207" s="12"/>
      <c r="AX207" s="12"/>
      <c r="AY207" s="12"/>
      <c r="AZ207" s="12"/>
      <c r="BA207" s="12"/>
      <c r="BB207" s="12"/>
      <c r="BC207" s="12"/>
      <c r="BD207" s="12"/>
      <c r="BE207" s="12"/>
      <c r="BF207" s="12"/>
      <c r="BG207" s="12"/>
      <c r="BH207" s="12"/>
      <c r="BI207" s="12"/>
      <c r="BJ207" s="12"/>
      <c r="BK207" s="12"/>
      <c r="BL207" s="12"/>
      <c r="BM207" s="12"/>
      <c r="BN207" s="12"/>
      <c r="BO207" s="12"/>
      <c r="BP207" s="12"/>
      <c r="BQ207" s="12"/>
      <c r="BR207" s="12"/>
      <c r="BS207" s="12"/>
      <c r="BT207" s="12"/>
      <c r="BU207" s="12"/>
      <c r="BV207" s="12"/>
      <c r="BW207" s="12"/>
      <c r="BX207" s="12"/>
      <c r="BY207" s="12"/>
      <c r="BZ207" s="12"/>
      <c r="CA207" s="12"/>
    </row>
    <row r="208" spans="1:79" x14ac:dyDescent="0.3">
      <c r="A208" s="8">
        <v>3</v>
      </c>
      <c r="B208" s="8" t="s">
        <v>954</v>
      </c>
      <c r="C208" s="8">
        <v>5</v>
      </c>
      <c r="D208" s="8">
        <v>249</v>
      </c>
      <c r="E208" s="8" t="s">
        <v>950</v>
      </c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12"/>
      <c r="AW208" s="12"/>
      <c r="AX208" s="12"/>
      <c r="AY208" s="12"/>
      <c r="AZ208" s="12"/>
      <c r="BA208" s="12"/>
      <c r="BB208" s="12"/>
      <c r="BC208" s="12"/>
      <c r="BD208" s="12"/>
      <c r="BE208" s="12"/>
      <c r="BF208" s="12"/>
      <c r="BG208" s="12"/>
      <c r="BH208" s="12"/>
      <c r="BI208" s="12"/>
      <c r="BJ208" s="12"/>
      <c r="BK208" s="12"/>
      <c r="BL208" s="12"/>
      <c r="BM208" s="12"/>
      <c r="BN208" s="12"/>
      <c r="BO208" s="12"/>
      <c r="BP208" s="12"/>
      <c r="BQ208" s="12"/>
      <c r="BR208" s="12"/>
      <c r="BS208" s="12"/>
      <c r="BT208" s="12"/>
      <c r="BU208" s="12"/>
      <c r="BV208" s="12"/>
      <c r="BW208" s="12"/>
      <c r="BX208" s="12"/>
      <c r="BY208" s="12"/>
      <c r="BZ208" s="12"/>
      <c r="CA208" s="12"/>
    </row>
    <row r="209" spans="1:79" x14ac:dyDescent="0.3">
      <c r="A209" s="8">
        <v>3</v>
      </c>
      <c r="B209" s="8" t="s">
        <v>954</v>
      </c>
      <c r="C209" s="8">
        <v>5</v>
      </c>
      <c r="D209" s="8">
        <v>250</v>
      </c>
      <c r="E209" s="8" t="s">
        <v>951</v>
      </c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12"/>
      <c r="AW209" s="12"/>
      <c r="AX209" s="12"/>
      <c r="AY209" s="12"/>
      <c r="AZ209" s="12"/>
      <c r="BA209" s="12"/>
      <c r="BB209" s="12"/>
      <c r="BC209" s="12"/>
      <c r="BD209" s="12"/>
      <c r="BE209" s="12"/>
      <c r="BF209" s="12"/>
      <c r="BG209" s="12"/>
      <c r="BH209" s="12"/>
      <c r="BI209" s="12"/>
      <c r="BJ209" s="12"/>
      <c r="BK209" s="12"/>
      <c r="BL209" s="12"/>
      <c r="BM209" s="12"/>
      <c r="BN209" s="12"/>
      <c r="BO209" s="12"/>
      <c r="BP209" s="12"/>
      <c r="BQ209" s="12"/>
      <c r="BR209" s="12"/>
      <c r="BS209" s="12"/>
      <c r="BT209" s="12"/>
      <c r="BU209" s="12"/>
      <c r="BV209" s="12"/>
      <c r="BW209" s="12"/>
      <c r="BX209" s="12"/>
      <c r="BY209" s="12"/>
      <c r="BZ209" s="12"/>
      <c r="CA209" s="12"/>
    </row>
    <row r="210" spans="1:79" x14ac:dyDescent="0.3">
      <c r="A210" s="8">
        <v>1</v>
      </c>
      <c r="B210" s="8" t="s">
        <v>954</v>
      </c>
      <c r="C210" s="8">
        <v>5</v>
      </c>
      <c r="D210" s="8">
        <v>251</v>
      </c>
      <c r="E210" s="8" t="s">
        <v>951</v>
      </c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12"/>
      <c r="AW210" s="12"/>
      <c r="AX210" s="12"/>
      <c r="AY210" s="12"/>
      <c r="AZ210" s="12"/>
      <c r="BA210" s="12"/>
      <c r="BB210" s="12"/>
      <c r="BC210" s="12"/>
      <c r="BD210" s="12"/>
      <c r="BE210" s="12"/>
      <c r="BF210" s="12"/>
      <c r="BG210" s="12"/>
      <c r="BH210" s="12"/>
      <c r="BI210" s="12"/>
      <c r="BJ210" s="12"/>
      <c r="BK210" s="12"/>
      <c r="BL210" s="12"/>
      <c r="BM210" s="12"/>
      <c r="BN210" s="12"/>
      <c r="BO210" s="12"/>
      <c r="BP210" s="12"/>
      <c r="BQ210" s="12"/>
      <c r="BR210" s="12"/>
      <c r="BS210" s="12"/>
      <c r="BT210" s="12"/>
      <c r="BU210" s="12"/>
      <c r="BV210" s="12"/>
      <c r="BW210" s="12"/>
      <c r="BX210" s="12"/>
      <c r="BY210" s="12"/>
      <c r="BZ210" s="12"/>
      <c r="CA210" s="12"/>
    </row>
    <row r="211" spans="1:79" x14ac:dyDescent="0.3">
      <c r="A211" s="8">
        <v>1</v>
      </c>
      <c r="B211" s="8" t="s">
        <v>954</v>
      </c>
      <c r="C211" s="8">
        <v>5</v>
      </c>
      <c r="D211" s="8">
        <v>252</v>
      </c>
      <c r="E211" s="8" t="s">
        <v>951</v>
      </c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12"/>
      <c r="AW211" s="12"/>
      <c r="AX211" s="12"/>
      <c r="AY211" s="12"/>
      <c r="AZ211" s="12"/>
      <c r="BA211" s="12"/>
      <c r="BB211" s="12"/>
      <c r="BC211" s="12"/>
      <c r="BD211" s="12"/>
      <c r="BE211" s="12"/>
      <c r="BF211" s="12"/>
      <c r="BG211" s="12"/>
      <c r="BH211" s="12"/>
      <c r="BI211" s="12"/>
      <c r="BJ211" s="12"/>
      <c r="BK211" s="12"/>
      <c r="BL211" s="12"/>
      <c r="BM211" s="12"/>
      <c r="BN211" s="12"/>
      <c r="BO211" s="12"/>
      <c r="BP211" s="12"/>
      <c r="BQ211" s="12"/>
      <c r="BR211" s="12"/>
      <c r="BS211" s="12"/>
      <c r="BT211" s="12"/>
      <c r="BU211" s="12"/>
      <c r="BV211" s="12"/>
      <c r="BW211" s="12"/>
      <c r="BX211" s="12"/>
      <c r="BY211" s="12"/>
      <c r="BZ211" s="12"/>
      <c r="CA211" s="12"/>
    </row>
    <row r="212" spans="1:79" x14ac:dyDescent="0.3">
      <c r="A212" s="8">
        <v>1</v>
      </c>
      <c r="B212" s="8" t="s">
        <v>955</v>
      </c>
      <c r="C212" s="8">
        <v>2</v>
      </c>
      <c r="D212" s="8">
        <v>253</v>
      </c>
      <c r="E212" s="8" t="s">
        <v>951</v>
      </c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12"/>
      <c r="AW212" s="12"/>
      <c r="AX212" s="12"/>
      <c r="AY212" s="12"/>
      <c r="AZ212" s="12"/>
      <c r="BA212" s="12"/>
      <c r="BB212" s="12"/>
      <c r="BC212" s="12"/>
      <c r="BD212" s="12"/>
      <c r="BE212" s="12"/>
      <c r="BF212" s="12"/>
      <c r="BG212" s="12"/>
      <c r="BH212" s="12"/>
      <c r="BI212" s="12"/>
      <c r="BJ212" s="12"/>
      <c r="BK212" s="12"/>
      <c r="BL212" s="12"/>
      <c r="BM212" s="12"/>
      <c r="BN212" s="12"/>
      <c r="BO212" s="12"/>
      <c r="BP212" s="12"/>
      <c r="BQ212" s="12"/>
      <c r="BR212" s="12"/>
      <c r="BS212" s="12"/>
      <c r="BT212" s="12"/>
      <c r="BU212" s="12"/>
      <c r="BV212" s="12"/>
      <c r="BW212" s="12"/>
      <c r="BX212" s="12"/>
      <c r="BY212" s="12"/>
      <c r="BZ212" s="12"/>
      <c r="CA212" s="12"/>
    </row>
    <row r="213" spans="1:79" x14ac:dyDescent="0.3">
      <c r="A213" s="8">
        <v>1</v>
      </c>
      <c r="B213" s="8" t="s">
        <v>955</v>
      </c>
      <c r="C213" s="8">
        <v>2</v>
      </c>
      <c r="D213" s="8">
        <v>254</v>
      </c>
      <c r="E213" s="8" t="s">
        <v>950</v>
      </c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12"/>
      <c r="AW213" s="12"/>
      <c r="AX213" s="12"/>
      <c r="AY213" s="12"/>
      <c r="AZ213" s="12"/>
      <c r="BA213" s="12"/>
      <c r="BB213" s="12"/>
      <c r="BC213" s="12"/>
      <c r="BD213" s="12"/>
      <c r="BE213" s="12"/>
      <c r="BF213" s="12"/>
      <c r="BG213" s="12"/>
      <c r="BH213" s="12"/>
      <c r="BI213" s="12"/>
      <c r="BJ213" s="12"/>
      <c r="BK213" s="12"/>
      <c r="BL213" s="12"/>
      <c r="BM213" s="12"/>
      <c r="BN213" s="12"/>
      <c r="BO213" s="12"/>
      <c r="BP213" s="12"/>
      <c r="BQ213" s="12"/>
      <c r="BR213" s="12"/>
      <c r="BS213" s="12"/>
      <c r="BT213" s="12"/>
      <c r="BU213" s="12"/>
      <c r="BV213" s="12"/>
      <c r="BW213" s="12"/>
      <c r="BX213" s="12"/>
      <c r="BY213" s="12"/>
      <c r="BZ213" s="12"/>
      <c r="CA213" s="12"/>
    </row>
    <row r="214" spans="1:79" x14ac:dyDescent="0.3">
      <c r="A214" s="8">
        <v>1</v>
      </c>
      <c r="B214" s="8" t="s">
        <v>955</v>
      </c>
      <c r="C214" s="8">
        <v>2</v>
      </c>
      <c r="D214" s="8">
        <v>255</v>
      </c>
      <c r="E214" s="8" t="s">
        <v>951</v>
      </c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12"/>
      <c r="AW214" s="12"/>
      <c r="AX214" s="12"/>
      <c r="AY214" s="12"/>
      <c r="AZ214" s="12"/>
      <c r="BA214" s="12"/>
      <c r="BB214" s="12"/>
      <c r="BC214" s="12"/>
      <c r="BD214" s="12"/>
      <c r="BE214" s="12"/>
      <c r="BF214" s="12"/>
      <c r="BG214" s="12"/>
      <c r="BH214" s="12"/>
      <c r="BI214" s="12"/>
      <c r="BJ214" s="12"/>
      <c r="BK214" s="12"/>
      <c r="BL214" s="12"/>
      <c r="BM214" s="12"/>
      <c r="BN214" s="12"/>
      <c r="BO214" s="12"/>
      <c r="BP214" s="12"/>
      <c r="BQ214" s="12"/>
      <c r="BR214" s="12"/>
      <c r="BS214" s="12"/>
      <c r="BT214" s="12"/>
      <c r="BU214" s="12"/>
      <c r="BV214" s="12"/>
      <c r="BW214" s="12"/>
      <c r="BX214" s="12"/>
      <c r="BY214" s="12"/>
      <c r="BZ214" s="12"/>
      <c r="CA214" s="12"/>
    </row>
    <row r="215" spans="1:79" x14ac:dyDescent="0.3">
      <c r="A215" s="8">
        <v>1</v>
      </c>
      <c r="B215" s="8" t="s">
        <v>955</v>
      </c>
      <c r="C215" s="8">
        <v>2</v>
      </c>
      <c r="D215" s="8">
        <v>256</v>
      </c>
      <c r="E215" s="8" t="s">
        <v>950</v>
      </c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12"/>
      <c r="AW215" s="12"/>
      <c r="AX215" s="12"/>
      <c r="AY215" s="12"/>
      <c r="AZ215" s="12"/>
      <c r="BA215" s="12"/>
      <c r="BB215" s="12"/>
      <c r="BC215" s="12"/>
      <c r="BD215" s="12"/>
      <c r="BE215" s="12"/>
      <c r="BF215" s="12"/>
      <c r="BG215" s="12"/>
      <c r="BH215" s="12"/>
      <c r="BI215" s="12"/>
      <c r="BJ215" s="12"/>
      <c r="BK215" s="12"/>
      <c r="BL215" s="12"/>
      <c r="BM215" s="12"/>
      <c r="BN215" s="12"/>
      <c r="BO215" s="12"/>
      <c r="BP215" s="12"/>
      <c r="BQ215" s="12"/>
      <c r="BR215" s="12"/>
      <c r="BS215" s="12"/>
      <c r="BT215" s="12"/>
      <c r="BU215" s="12"/>
      <c r="BV215" s="12"/>
      <c r="BW215" s="12"/>
      <c r="BX215" s="12"/>
      <c r="BY215" s="12"/>
      <c r="BZ215" s="12"/>
      <c r="CA215" s="12"/>
    </row>
    <row r="216" spans="1:79" x14ac:dyDescent="0.3">
      <c r="A216" s="8">
        <v>1</v>
      </c>
      <c r="B216" s="8" t="s">
        <v>955</v>
      </c>
      <c r="C216" s="8">
        <v>2</v>
      </c>
      <c r="D216" s="8">
        <v>257</v>
      </c>
      <c r="E216" s="8" t="s">
        <v>950</v>
      </c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12"/>
      <c r="AW216" s="12"/>
      <c r="AX216" s="12"/>
      <c r="AY216" s="12"/>
      <c r="AZ216" s="12"/>
      <c r="BA216" s="12"/>
      <c r="BB216" s="12"/>
      <c r="BC216" s="12"/>
      <c r="BD216" s="12"/>
      <c r="BE216" s="12"/>
      <c r="BF216" s="12"/>
      <c r="BG216" s="12"/>
      <c r="BH216" s="12"/>
      <c r="BI216" s="12"/>
      <c r="BJ216" s="12"/>
      <c r="BK216" s="12"/>
      <c r="BL216" s="12"/>
      <c r="BM216" s="12"/>
      <c r="BN216" s="12"/>
      <c r="BO216" s="12"/>
      <c r="BP216" s="12"/>
      <c r="BQ216" s="12"/>
      <c r="BR216" s="12"/>
      <c r="BS216" s="12"/>
      <c r="BT216" s="12"/>
      <c r="BU216" s="12"/>
      <c r="BV216" s="12"/>
      <c r="BW216" s="12"/>
      <c r="BX216" s="12"/>
      <c r="BY216" s="12"/>
      <c r="BZ216" s="12"/>
      <c r="CA216" s="12"/>
    </row>
    <row r="217" spans="1:79" x14ac:dyDescent="0.3">
      <c r="A217" s="8">
        <v>1</v>
      </c>
      <c r="B217" s="8" t="s">
        <v>955</v>
      </c>
      <c r="C217" s="8">
        <v>2</v>
      </c>
      <c r="D217" s="8">
        <v>258</v>
      </c>
      <c r="E217" s="8" t="s">
        <v>951</v>
      </c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12"/>
      <c r="AW217" s="12"/>
      <c r="AX217" s="12"/>
      <c r="AY217" s="12"/>
      <c r="AZ217" s="12"/>
      <c r="BA217" s="12"/>
      <c r="BB217" s="12"/>
      <c r="BC217" s="12"/>
      <c r="BD217" s="12"/>
      <c r="BE217" s="12"/>
      <c r="BF217" s="12"/>
      <c r="BG217" s="12"/>
      <c r="BH217" s="12"/>
      <c r="BI217" s="12"/>
      <c r="BJ217" s="12"/>
      <c r="BK217" s="12"/>
      <c r="BL217" s="12"/>
      <c r="BM217" s="12"/>
      <c r="BN217" s="12"/>
      <c r="BO217" s="12"/>
      <c r="BP217" s="12"/>
      <c r="BQ217" s="12"/>
      <c r="BR217" s="12"/>
      <c r="BS217" s="12"/>
      <c r="BT217" s="12"/>
      <c r="BU217" s="12"/>
      <c r="BV217" s="12"/>
      <c r="BW217" s="12"/>
      <c r="BX217" s="12"/>
      <c r="BY217" s="12"/>
      <c r="BZ217" s="12"/>
      <c r="CA217" s="12"/>
    </row>
    <row r="218" spans="1:79" x14ac:dyDescent="0.3">
      <c r="A218" s="8">
        <v>1</v>
      </c>
      <c r="B218" s="8" t="s">
        <v>955</v>
      </c>
      <c r="C218" s="8">
        <v>2</v>
      </c>
      <c r="D218" s="8">
        <v>259</v>
      </c>
      <c r="E218" s="8" t="s">
        <v>951</v>
      </c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12"/>
      <c r="AW218" s="12"/>
      <c r="AX218" s="12"/>
      <c r="AY218" s="12"/>
      <c r="AZ218" s="12"/>
      <c r="BA218" s="12"/>
      <c r="BB218" s="12"/>
      <c r="BC218" s="12"/>
      <c r="BD218" s="12"/>
      <c r="BE218" s="12"/>
      <c r="BF218" s="12"/>
      <c r="BG218" s="12"/>
      <c r="BH218" s="12"/>
      <c r="BI218" s="12"/>
      <c r="BJ218" s="12"/>
      <c r="BK218" s="12"/>
      <c r="BL218" s="12"/>
      <c r="BM218" s="12"/>
      <c r="BN218" s="12"/>
      <c r="BO218" s="12"/>
      <c r="BP218" s="12"/>
      <c r="BQ218" s="12"/>
      <c r="BR218" s="12"/>
      <c r="BS218" s="12"/>
      <c r="BT218" s="12"/>
      <c r="BU218" s="12"/>
      <c r="BV218" s="12"/>
      <c r="BW218" s="12"/>
      <c r="BX218" s="12"/>
      <c r="BY218" s="12"/>
      <c r="BZ218" s="12"/>
      <c r="CA218" s="12"/>
    </row>
    <row r="219" spans="1:79" x14ac:dyDescent="0.3">
      <c r="A219" s="8">
        <v>1</v>
      </c>
      <c r="B219" s="8" t="s">
        <v>955</v>
      </c>
      <c r="C219" s="8">
        <v>2</v>
      </c>
      <c r="D219" s="8">
        <v>260</v>
      </c>
      <c r="E219" s="8" t="s">
        <v>951</v>
      </c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12"/>
      <c r="AW219" s="12"/>
      <c r="AX219" s="12"/>
      <c r="AY219" s="12"/>
      <c r="AZ219" s="12"/>
      <c r="BA219" s="12"/>
      <c r="BB219" s="12"/>
      <c r="BC219" s="12"/>
      <c r="BD219" s="12"/>
      <c r="BE219" s="12"/>
      <c r="BF219" s="12"/>
      <c r="BG219" s="12"/>
      <c r="BH219" s="12"/>
      <c r="BI219" s="12"/>
      <c r="BJ219" s="12"/>
      <c r="BK219" s="12"/>
      <c r="BL219" s="12"/>
      <c r="BM219" s="12"/>
      <c r="BN219" s="12"/>
      <c r="BO219" s="12"/>
      <c r="BP219" s="12"/>
      <c r="BQ219" s="12"/>
      <c r="BR219" s="12"/>
      <c r="BS219" s="12"/>
      <c r="BT219" s="12"/>
      <c r="BU219" s="12"/>
      <c r="BV219" s="12"/>
      <c r="BW219" s="12"/>
      <c r="BX219" s="12"/>
      <c r="BY219" s="12"/>
      <c r="BZ219" s="12"/>
      <c r="CA219" s="12"/>
    </row>
    <row r="220" spans="1:79" x14ac:dyDescent="0.3">
      <c r="A220" s="8">
        <v>1</v>
      </c>
      <c r="B220" s="8" t="s">
        <v>955</v>
      </c>
      <c r="C220" s="8">
        <v>2</v>
      </c>
      <c r="D220" s="8">
        <v>261</v>
      </c>
      <c r="E220" s="8" t="s">
        <v>951</v>
      </c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12"/>
      <c r="AW220" s="12"/>
      <c r="AX220" s="12"/>
      <c r="AY220" s="12"/>
      <c r="AZ220" s="12"/>
      <c r="BA220" s="12"/>
      <c r="BB220" s="12"/>
      <c r="BC220" s="12"/>
      <c r="BD220" s="12"/>
      <c r="BE220" s="12"/>
      <c r="BF220" s="12"/>
      <c r="BG220" s="12"/>
      <c r="BH220" s="12"/>
      <c r="BI220" s="12"/>
      <c r="BJ220" s="12"/>
      <c r="BK220" s="12"/>
      <c r="BL220" s="12"/>
      <c r="BM220" s="12"/>
      <c r="BN220" s="12"/>
      <c r="BO220" s="12"/>
      <c r="BP220" s="12"/>
      <c r="BQ220" s="12"/>
      <c r="BR220" s="12"/>
      <c r="BS220" s="12"/>
      <c r="BT220" s="12"/>
      <c r="BU220" s="12"/>
      <c r="BV220" s="12"/>
      <c r="BW220" s="12"/>
      <c r="BX220" s="12"/>
      <c r="BY220" s="12"/>
      <c r="BZ220" s="12"/>
      <c r="CA220" s="12"/>
    </row>
    <row r="221" spans="1:79" x14ac:dyDescent="0.3">
      <c r="A221" s="8">
        <v>1</v>
      </c>
      <c r="B221" s="8" t="s">
        <v>955</v>
      </c>
      <c r="C221" s="8">
        <v>2</v>
      </c>
      <c r="D221" s="8">
        <v>262</v>
      </c>
      <c r="E221" s="8" t="s">
        <v>950</v>
      </c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</row>
    <row r="222" spans="1:79" x14ac:dyDescent="0.3">
      <c r="A222" s="8">
        <v>1</v>
      </c>
      <c r="B222" s="8" t="s">
        <v>955</v>
      </c>
      <c r="C222" s="8">
        <v>2</v>
      </c>
      <c r="D222" s="8">
        <v>263</v>
      </c>
      <c r="E222" s="8" t="s">
        <v>951</v>
      </c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</row>
    <row r="223" spans="1:79" x14ac:dyDescent="0.3">
      <c r="A223" s="8">
        <v>1</v>
      </c>
      <c r="B223" s="8" t="s">
        <v>955</v>
      </c>
      <c r="C223" s="8">
        <v>2</v>
      </c>
      <c r="D223" s="8">
        <v>264</v>
      </c>
      <c r="E223" s="8" t="s">
        <v>951</v>
      </c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12"/>
      <c r="AW223" s="12"/>
      <c r="AX223" s="12"/>
      <c r="AY223" s="12"/>
      <c r="AZ223" s="12"/>
      <c r="BA223" s="12"/>
      <c r="BB223" s="12"/>
      <c r="BC223" s="12"/>
      <c r="BD223" s="12"/>
      <c r="BE223" s="12"/>
      <c r="BF223" s="12"/>
      <c r="BG223" s="12"/>
      <c r="BH223" s="12"/>
      <c r="BI223" s="12"/>
      <c r="BJ223" s="12"/>
      <c r="BK223" s="12"/>
      <c r="BL223" s="12"/>
      <c r="BM223" s="12"/>
      <c r="BN223" s="12"/>
      <c r="BO223" s="12"/>
      <c r="BP223" s="12"/>
      <c r="BQ223" s="12"/>
      <c r="BR223" s="12"/>
      <c r="BS223" s="12"/>
      <c r="BT223" s="12"/>
      <c r="BU223" s="12"/>
      <c r="BV223" s="12"/>
      <c r="BW223" s="12"/>
      <c r="BX223" s="12"/>
      <c r="BY223" s="12"/>
      <c r="BZ223" s="12"/>
      <c r="CA223" s="12"/>
    </row>
    <row r="224" spans="1:79" x14ac:dyDescent="0.3">
      <c r="A224" s="8">
        <v>1</v>
      </c>
      <c r="B224" s="8" t="s">
        <v>955</v>
      </c>
      <c r="C224" s="8">
        <v>2</v>
      </c>
      <c r="D224" s="8">
        <v>265</v>
      </c>
      <c r="E224" s="8" t="s">
        <v>951</v>
      </c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12"/>
      <c r="AW224" s="12"/>
      <c r="AX224" s="12"/>
      <c r="AY224" s="12"/>
      <c r="AZ224" s="12"/>
      <c r="BA224" s="12"/>
      <c r="BB224" s="12"/>
      <c r="BC224" s="12"/>
      <c r="BD224" s="12"/>
      <c r="BE224" s="12"/>
      <c r="BF224" s="12"/>
      <c r="BG224" s="12"/>
      <c r="BH224" s="12"/>
      <c r="BI224" s="12"/>
      <c r="BJ224" s="12"/>
      <c r="BK224" s="12"/>
      <c r="BL224" s="12"/>
      <c r="BM224" s="12"/>
      <c r="BN224" s="12"/>
      <c r="BO224" s="12"/>
      <c r="BP224" s="12"/>
      <c r="BQ224" s="12"/>
      <c r="BR224" s="12"/>
      <c r="BS224" s="12"/>
      <c r="BT224" s="12"/>
      <c r="BU224" s="12"/>
      <c r="BV224" s="12"/>
      <c r="BW224" s="12"/>
      <c r="BX224" s="12"/>
      <c r="BY224" s="12"/>
      <c r="BZ224" s="12"/>
      <c r="CA224" s="12"/>
    </row>
    <row r="225" spans="1:79" x14ac:dyDescent="0.3">
      <c r="A225" s="8">
        <v>1</v>
      </c>
      <c r="B225" s="8" t="s">
        <v>955</v>
      </c>
      <c r="C225" s="8">
        <v>2</v>
      </c>
      <c r="D225" s="8">
        <v>266</v>
      </c>
      <c r="E225" s="8" t="s">
        <v>950</v>
      </c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12"/>
      <c r="AW225" s="12"/>
      <c r="AX225" s="12"/>
      <c r="AY225" s="12"/>
      <c r="AZ225" s="12"/>
      <c r="BA225" s="12"/>
      <c r="BB225" s="12"/>
      <c r="BC225" s="12"/>
      <c r="BD225" s="12"/>
      <c r="BE225" s="12"/>
      <c r="BF225" s="12"/>
      <c r="BG225" s="12"/>
      <c r="BH225" s="12"/>
      <c r="BI225" s="12"/>
      <c r="BJ225" s="12"/>
      <c r="BK225" s="12"/>
      <c r="BL225" s="12"/>
      <c r="BM225" s="12"/>
      <c r="BN225" s="12"/>
      <c r="BO225" s="12"/>
      <c r="BP225" s="12"/>
      <c r="BQ225" s="12"/>
      <c r="BR225" s="12"/>
      <c r="BS225" s="12"/>
      <c r="BT225" s="12"/>
      <c r="BU225" s="12"/>
      <c r="BV225" s="12"/>
      <c r="BW225" s="12"/>
      <c r="BX225" s="12"/>
      <c r="BY225" s="12"/>
      <c r="BZ225" s="12"/>
      <c r="CA225" s="12"/>
    </row>
    <row r="226" spans="1:79" x14ac:dyDescent="0.3">
      <c r="A226" s="8">
        <v>1</v>
      </c>
      <c r="B226" s="8" t="s">
        <v>955</v>
      </c>
      <c r="C226" s="8">
        <v>2</v>
      </c>
      <c r="D226" s="8">
        <v>267</v>
      </c>
      <c r="E226" s="8" t="s">
        <v>951</v>
      </c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12"/>
      <c r="AW226" s="12"/>
      <c r="AX226" s="12"/>
      <c r="AY226" s="12"/>
      <c r="AZ226" s="12"/>
      <c r="BA226" s="12"/>
      <c r="BB226" s="12"/>
      <c r="BC226" s="12"/>
      <c r="BD226" s="12"/>
      <c r="BE226" s="12"/>
      <c r="BF226" s="12"/>
      <c r="BG226" s="12"/>
      <c r="BH226" s="12"/>
      <c r="BI226" s="12"/>
      <c r="BJ226" s="12"/>
      <c r="BK226" s="12"/>
      <c r="BL226" s="12"/>
      <c r="BM226" s="12"/>
      <c r="BN226" s="12"/>
      <c r="BO226" s="12"/>
      <c r="BP226" s="12"/>
      <c r="BQ226" s="12"/>
      <c r="BR226" s="12"/>
      <c r="BS226" s="12"/>
      <c r="BT226" s="12"/>
      <c r="BU226" s="12"/>
      <c r="BV226" s="12"/>
      <c r="BW226" s="12"/>
      <c r="BX226" s="12"/>
      <c r="BY226" s="12"/>
      <c r="BZ226" s="12"/>
      <c r="CA226" s="12"/>
    </row>
    <row r="227" spans="1:79" x14ac:dyDescent="0.3">
      <c r="A227" s="8">
        <v>1</v>
      </c>
      <c r="B227" s="8" t="s">
        <v>955</v>
      </c>
      <c r="C227" s="8">
        <v>2</v>
      </c>
      <c r="D227" s="8">
        <v>268</v>
      </c>
      <c r="E227" s="8" t="s">
        <v>951</v>
      </c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12"/>
      <c r="AW227" s="12"/>
      <c r="AX227" s="12"/>
      <c r="AY227" s="12"/>
      <c r="AZ227" s="12"/>
      <c r="BA227" s="12"/>
      <c r="BB227" s="12"/>
      <c r="BC227" s="12"/>
      <c r="BD227" s="12"/>
      <c r="BE227" s="12"/>
      <c r="BF227" s="12"/>
      <c r="BG227" s="12"/>
      <c r="BH227" s="12"/>
      <c r="BI227" s="12"/>
      <c r="BJ227" s="12"/>
      <c r="BK227" s="12"/>
      <c r="BL227" s="12"/>
      <c r="BM227" s="12"/>
      <c r="BN227" s="12"/>
      <c r="BO227" s="12"/>
      <c r="BP227" s="12"/>
      <c r="BQ227" s="12"/>
      <c r="BR227" s="12"/>
      <c r="BS227" s="12"/>
      <c r="BT227" s="12"/>
      <c r="BU227" s="12"/>
      <c r="BV227" s="12"/>
      <c r="BW227" s="12"/>
      <c r="BX227" s="12"/>
      <c r="BY227" s="12"/>
      <c r="BZ227" s="12"/>
      <c r="CA227" s="12"/>
    </row>
    <row r="228" spans="1:79" x14ac:dyDescent="0.3">
      <c r="A228" s="8">
        <v>1</v>
      </c>
      <c r="B228" s="8" t="s">
        <v>955</v>
      </c>
      <c r="C228" s="8">
        <v>2</v>
      </c>
      <c r="D228" s="8">
        <v>269</v>
      </c>
      <c r="E228" s="8" t="s">
        <v>950</v>
      </c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12"/>
      <c r="AW228" s="12"/>
      <c r="AX228" s="12"/>
      <c r="AY228" s="12"/>
      <c r="AZ228" s="12"/>
      <c r="BA228" s="12"/>
      <c r="BB228" s="12"/>
      <c r="BC228" s="12"/>
      <c r="BD228" s="12"/>
      <c r="BE228" s="12"/>
      <c r="BF228" s="12"/>
      <c r="BG228" s="12"/>
      <c r="BH228" s="12"/>
      <c r="BI228" s="12"/>
      <c r="BJ228" s="12"/>
      <c r="BK228" s="12"/>
      <c r="BL228" s="12"/>
      <c r="BM228" s="12"/>
      <c r="BN228" s="12"/>
      <c r="BO228" s="12"/>
      <c r="BP228" s="12"/>
      <c r="BQ228" s="12"/>
      <c r="BR228" s="12"/>
      <c r="BS228" s="12"/>
      <c r="BT228" s="12"/>
      <c r="BU228" s="12"/>
      <c r="BV228" s="12"/>
      <c r="BW228" s="12"/>
      <c r="BX228" s="12"/>
      <c r="BY228" s="12"/>
      <c r="BZ228" s="12"/>
      <c r="CA228" s="12"/>
    </row>
    <row r="229" spans="1:79" x14ac:dyDescent="0.3">
      <c r="A229" s="8">
        <v>1</v>
      </c>
      <c r="B229" s="8" t="s">
        <v>955</v>
      </c>
      <c r="C229" s="8">
        <v>2</v>
      </c>
      <c r="D229" s="8">
        <v>270</v>
      </c>
      <c r="E229" s="8" t="s">
        <v>950</v>
      </c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12"/>
      <c r="AW229" s="12"/>
      <c r="AX229" s="12"/>
      <c r="AY229" s="12"/>
      <c r="AZ229" s="12"/>
      <c r="BA229" s="12"/>
      <c r="BB229" s="12"/>
      <c r="BC229" s="12"/>
      <c r="BD229" s="12"/>
      <c r="BE229" s="12"/>
      <c r="BF229" s="12"/>
      <c r="BG229" s="12"/>
      <c r="BH229" s="12"/>
      <c r="BI229" s="12"/>
      <c r="BJ229" s="12"/>
      <c r="BK229" s="12"/>
      <c r="BL229" s="12"/>
      <c r="BM229" s="12"/>
      <c r="BN229" s="12"/>
      <c r="BO229" s="12"/>
      <c r="BP229" s="12"/>
      <c r="BQ229" s="12"/>
      <c r="BR229" s="12"/>
      <c r="BS229" s="12"/>
      <c r="BT229" s="12"/>
      <c r="BU229" s="12"/>
      <c r="BV229" s="12"/>
      <c r="BW229" s="12"/>
      <c r="BX229" s="12"/>
      <c r="BY229" s="12"/>
      <c r="BZ229" s="12"/>
      <c r="CA229" s="12"/>
    </row>
    <row r="230" spans="1:79" x14ac:dyDescent="0.3">
      <c r="A230" s="8">
        <v>1</v>
      </c>
      <c r="B230" s="8" t="s">
        <v>955</v>
      </c>
      <c r="C230" s="8">
        <v>2</v>
      </c>
      <c r="D230" s="8">
        <v>271</v>
      </c>
      <c r="E230" s="8" t="s">
        <v>951</v>
      </c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12"/>
      <c r="AW230" s="12"/>
      <c r="AX230" s="12"/>
      <c r="AY230" s="12"/>
      <c r="AZ230" s="12"/>
      <c r="BA230" s="12"/>
      <c r="BB230" s="12"/>
      <c r="BC230" s="12"/>
      <c r="BD230" s="12"/>
      <c r="BE230" s="12"/>
      <c r="BF230" s="12"/>
      <c r="BG230" s="12"/>
      <c r="BH230" s="12"/>
      <c r="BI230" s="12"/>
      <c r="BJ230" s="12"/>
      <c r="BK230" s="12"/>
      <c r="BL230" s="12"/>
      <c r="BM230" s="12"/>
      <c r="BN230" s="12"/>
      <c r="BO230" s="12"/>
      <c r="BP230" s="12"/>
      <c r="BQ230" s="12"/>
      <c r="BR230" s="12"/>
      <c r="BS230" s="12"/>
      <c r="BT230" s="12"/>
      <c r="BU230" s="12"/>
      <c r="BV230" s="12"/>
      <c r="BW230" s="12"/>
      <c r="BX230" s="12"/>
      <c r="BY230" s="12"/>
      <c r="BZ230" s="12"/>
      <c r="CA230" s="12"/>
    </row>
    <row r="231" spans="1:79" x14ac:dyDescent="0.3">
      <c r="A231" s="8">
        <v>2</v>
      </c>
      <c r="B231" s="8" t="s">
        <v>955</v>
      </c>
      <c r="C231" s="8">
        <v>2</v>
      </c>
      <c r="D231" s="8">
        <v>272</v>
      </c>
      <c r="E231" s="8" t="s">
        <v>950</v>
      </c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12"/>
      <c r="AW231" s="12"/>
      <c r="AX231" s="12"/>
      <c r="AY231" s="12"/>
      <c r="AZ231" s="12"/>
      <c r="BA231" s="12"/>
      <c r="BB231" s="12"/>
      <c r="BC231" s="12"/>
      <c r="BD231" s="12"/>
      <c r="BE231" s="12"/>
      <c r="BF231" s="12"/>
      <c r="BG231" s="12"/>
      <c r="BH231" s="12"/>
      <c r="BI231" s="12"/>
      <c r="BJ231" s="12"/>
      <c r="BK231" s="12"/>
      <c r="BL231" s="12"/>
      <c r="BM231" s="12"/>
      <c r="BN231" s="12"/>
      <c r="BO231" s="12"/>
      <c r="BP231" s="12"/>
      <c r="BQ231" s="12"/>
      <c r="BR231" s="12"/>
      <c r="BS231" s="12"/>
      <c r="BT231" s="12"/>
      <c r="BU231" s="12"/>
      <c r="BV231" s="12"/>
      <c r="BW231" s="12"/>
      <c r="BX231" s="12"/>
      <c r="BY231" s="12"/>
      <c r="BZ231" s="12"/>
      <c r="CA231" s="12"/>
    </row>
    <row r="232" spans="1:79" x14ac:dyDescent="0.3">
      <c r="A232" s="8">
        <v>2</v>
      </c>
      <c r="B232" s="8" t="s">
        <v>955</v>
      </c>
      <c r="C232" s="8">
        <v>2</v>
      </c>
      <c r="D232" s="8">
        <v>273</v>
      </c>
      <c r="E232" s="8" t="s">
        <v>950</v>
      </c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12"/>
      <c r="AW232" s="12"/>
      <c r="AX232" s="12"/>
      <c r="AY232" s="12"/>
      <c r="AZ232" s="12"/>
      <c r="BA232" s="12"/>
      <c r="BB232" s="12"/>
      <c r="BC232" s="12"/>
      <c r="BD232" s="12"/>
      <c r="BE232" s="12"/>
      <c r="BF232" s="12"/>
      <c r="BG232" s="12"/>
      <c r="BH232" s="12"/>
      <c r="BI232" s="12"/>
      <c r="BJ232" s="12"/>
      <c r="BK232" s="12"/>
      <c r="BL232" s="12"/>
      <c r="BM232" s="12"/>
      <c r="BN232" s="12"/>
      <c r="BO232" s="12"/>
      <c r="BP232" s="12"/>
      <c r="BQ232" s="12"/>
      <c r="BR232" s="12"/>
      <c r="BS232" s="12"/>
      <c r="BT232" s="12"/>
      <c r="BU232" s="12"/>
      <c r="BV232" s="12"/>
      <c r="BW232" s="12"/>
      <c r="BX232" s="12"/>
      <c r="BY232" s="12"/>
      <c r="BZ232" s="12"/>
      <c r="CA232" s="12"/>
    </row>
    <row r="233" spans="1:79" x14ac:dyDescent="0.3">
      <c r="A233" s="8">
        <v>2</v>
      </c>
      <c r="B233" s="8" t="s">
        <v>955</v>
      </c>
      <c r="C233" s="8">
        <v>0</v>
      </c>
      <c r="D233" s="8">
        <v>274</v>
      </c>
      <c r="E233" s="8" t="s">
        <v>951</v>
      </c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12"/>
      <c r="AW233" s="12"/>
      <c r="AX233" s="12"/>
      <c r="AY233" s="12"/>
      <c r="AZ233" s="12"/>
      <c r="BA233" s="12"/>
      <c r="BB233" s="12"/>
      <c r="BC233" s="12"/>
      <c r="BD233" s="12"/>
      <c r="BE233" s="12"/>
      <c r="BF233" s="12"/>
      <c r="BG233" s="12"/>
      <c r="BH233" s="12"/>
      <c r="BI233" s="12"/>
      <c r="BJ233" s="12"/>
      <c r="BK233" s="12"/>
      <c r="BL233" s="12"/>
      <c r="BM233" s="12"/>
      <c r="BN233" s="12"/>
      <c r="BO233" s="12"/>
      <c r="BP233" s="12"/>
      <c r="BQ233" s="12"/>
      <c r="BR233" s="12"/>
      <c r="BS233" s="12"/>
      <c r="BT233" s="12"/>
      <c r="BU233" s="12"/>
      <c r="BV233" s="12"/>
      <c r="BW233" s="12"/>
      <c r="BX233" s="12"/>
      <c r="BY233" s="12"/>
      <c r="BZ233" s="12"/>
      <c r="CA233" s="12"/>
    </row>
    <row r="234" spans="1:79" x14ac:dyDescent="0.3">
      <c r="A234" s="8">
        <v>2</v>
      </c>
      <c r="B234" s="8" t="s">
        <v>955</v>
      </c>
      <c r="C234" s="8">
        <v>0</v>
      </c>
      <c r="D234" s="8">
        <v>275</v>
      </c>
      <c r="E234" s="8" t="s">
        <v>950</v>
      </c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12"/>
      <c r="AW234" s="12"/>
      <c r="AX234" s="12"/>
      <c r="AY234" s="12"/>
      <c r="AZ234" s="12"/>
      <c r="BA234" s="12"/>
      <c r="BB234" s="12"/>
      <c r="BC234" s="12"/>
      <c r="BD234" s="12"/>
      <c r="BE234" s="12"/>
      <c r="BF234" s="12"/>
      <c r="BG234" s="12"/>
      <c r="BH234" s="12"/>
      <c r="BI234" s="12"/>
      <c r="BJ234" s="12"/>
      <c r="BK234" s="12"/>
      <c r="BL234" s="12"/>
      <c r="BM234" s="12"/>
      <c r="BN234" s="12"/>
      <c r="BO234" s="12"/>
      <c r="BP234" s="12"/>
      <c r="BQ234" s="12"/>
      <c r="BR234" s="12"/>
      <c r="BS234" s="12"/>
      <c r="BT234" s="12"/>
      <c r="BU234" s="12"/>
      <c r="BV234" s="12"/>
      <c r="BW234" s="12"/>
      <c r="BX234" s="12"/>
      <c r="BY234" s="12"/>
      <c r="BZ234" s="12"/>
      <c r="CA234" s="12"/>
    </row>
    <row r="235" spans="1:79" x14ac:dyDescent="0.3">
      <c r="A235" s="8">
        <v>2</v>
      </c>
      <c r="B235" s="8" t="s">
        <v>955</v>
      </c>
      <c r="C235" s="8">
        <v>0</v>
      </c>
      <c r="D235" s="8">
        <v>276</v>
      </c>
      <c r="E235" s="8" t="s">
        <v>951</v>
      </c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12"/>
      <c r="AW235" s="12"/>
      <c r="AX235" s="12"/>
      <c r="AY235" s="12"/>
      <c r="AZ235" s="12"/>
      <c r="BA235" s="12"/>
      <c r="BB235" s="12"/>
      <c r="BC235" s="12"/>
      <c r="BD235" s="12"/>
      <c r="BE235" s="12"/>
      <c r="BF235" s="12"/>
      <c r="BG235" s="12"/>
      <c r="BH235" s="12"/>
      <c r="BI235" s="12"/>
      <c r="BJ235" s="12"/>
      <c r="BK235" s="12"/>
      <c r="BL235" s="12"/>
      <c r="BM235" s="12"/>
      <c r="BN235" s="12"/>
      <c r="BO235" s="12"/>
      <c r="BP235" s="12"/>
      <c r="BQ235" s="12"/>
      <c r="BR235" s="12"/>
      <c r="BS235" s="12"/>
      <c r="BT235" s="12"/>
      <c r="BU235" s="12"/>
      <c r="BV235" s="12"/>
      <c r="BW235" s="12"/>
      <c r="BX235" s="12"/>
      <c r="BY235" s="12"/>
      <c r="BZ235" s="12"/>
      <c r="CA235" s="12"/>
    </row>
    <row r="236" spans="1:79" x14ac:dyDescent="0.3">
      <c r="A236" s="8">
        <v>2</v>
      </c>
      <c r="B236" s="8" t="s">
        <v>955</v>
      </c>
      <c r="C236" s="8">
        <v>0</v>
      </c>
      <c r="D236" s="8">
        <v>277</v>
      </c>
      <c r="E236" s="8" t="s">
        <v>950</v>
      </c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12"/>
      <c r="AW236" s="12"/>
      <c r="AX236" s="12"/>
      <c r="AY236" s="12"/>
      <c r="AZ236" s="12"/>
      <c r="BA236" s="12"/>
      <c r="BB236" s="12"/>
      <c r="BC236" s="12"/>
      <c r="BD236" s="12"/>
      <c r="BE236" s="12"/>
      <c r="BF236" s="12"/>
      <c r="BG236" s="12"/>
      <c r="BH236" s="12"/>
      <c r="BI236" s="12"/>
      <c r="BJ236" s="12"/>
      <c r="BK236" s="12"/>
      <c r="BL236" s="12"/>
      <c r="BM236" s="12"/>
      <c r="BN236" s="12"/>
      <c r="BO236" s="12"/>
      <c r="BP236" s="12"/>
      <c r="BQ236" s="12"/>
      <c r="BR236" s="12"/>
      <c r="BS236" s="12"/>
      <c r="BT236" s="12"/>
      <c r="BU236" s="12"/>
      <c r="BV236" s="12"/>
      <c r="BW236" s="12"/>
      <c r="BX236" s="12"/>
      <c r="BY236" s="12"/>
      <c r="BZ236" s="12"/>
      <c r="CA236" s="12"/>
    </row>
    <row r="237" spans="1:79" x14ac:dyDescent="0.3">
      <c r="A237" s="8">
        <v>2</v>
      </c>
      <c r="B237" s="8" t="s">
        <v>955</v>
      </c>
      <c r="C237" s="8">
        <v>0</v>
      </c>
      <c r="D237" s="8">
        <v>278</v>
      </c>
      <c r="E237" s="8" t="s">
        <v>950</v>
      </c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12"/>
      <c r="AW237" s="12"/>
      <c r="AX237" s="12"/>
      <c r="AY237" s="12"/>
      <c r="AZ237" s="12"/>
      <c r="BA237" s="12"/>
      <c r="BB237" s="12"/>
      <c r="BC237" s="12"/>
      <c r="BD237" s="12"/>
      <c r="BE237" s="12"/>
      <c r="BF237" s="12"/>
      <c r="BG237" s="12"/>
      <c r="BH237" s="12"/>
      <c r="BI237" s="12"/>
      <c r="BJ237" s="12"/>
      <c r="BK237" s="12"/>
      <c r="BL237" s="12"/>
      <c r="BM237" s="12"/>
      <c r="BN237" s="12"/>
      <c r="BO237" s="12"/>
      <c r="BP237" s="12"/>
      <c r="BQ237" s="12"/>
      <c r="BR237" s="12"/>
      <c r="BS237" s="12"/>
      <c r="BT237" s="12"/>
      <c r="BU237" s="12"/>
      <c r="BV237" s="12"/>
      <c r="BW237" s="12"/>
      <c r="BX237" s="12"/>
      <c r="BY237" s="12"/>
      <c r="BZ237" s="12"/>
      <c r="CA237" s="12"/>
    </row>
    <row r="238" spans="1:79" x14ac:dyDescent="0.3">
      <c r="A238" s="8">
        <v>2</v>
      </c>
      <c r="B238" s="8" t="s">
        <v>955</v>
      </c>
      <c r="C238" s="8">
        <v>0</v>
      </c>
      <c r="D238" s="8">
        <v>279</v>
      </c>
      <c r="E238" s="8" t="s">
        <v>951</v>
      </c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12"/>
      <c r="AW238" s="12"/>
      <c r="AX238" s="12"/>
      <c r="AY238" s="12"/>
      <c r="AZ238" s="12"/>
      <c r="BA238" s="12"/>
      <c r="BB238" s="12"/>
      <c r="BC238" s="12"/>
      <c r="BD238" s="12"/>
      <c r="BE238" s="12"/>
      <c r="BF238" s="12"/>
      <c r="BG238" s="12"/>
      <c r="BH238" s="12"/>
      <c r="BI238" s="12"/>
      <c r="BJ238" s="12"/>
      <c r="BK238" s="12"/>
      <c r="BL238" s="12"/>
      <c r="BM238" s="12"/>
      <c r="BN238" s="12"/>
      <c r="BO238" s="12"/>
      <c r="BP238" s="12"/>
      <c r="BQ238" s="12"/>
      <c r="BR238" s="12"/>
      <c r="BS238" s="12"/>
      <c r="BT238" s="12"/>
      <c r="BU238" s="12"/>
      <c r="BV238" s="12"/>
      <c r="BW238" s="12"/>
      <c r="BX238" s="12"/>
      <c r="BY238" s="12"/>
      <c r="BZ238" s="12"/>
      <c r="CA238" s="12"/>
    </row>
    <row r="239" spans="1:79" x14ac:dyDescent="0.3">
      <c r="A239" s="8">
        <v>2</v>
      </c>
      <c r="B239" s="8" t="s">
        <v>955</v>
      </c>
      <c r="C239" s="8">
        <v>0</v>
      </c>
      <c r="D239" s="8">
        <v>280</v>
      </c>
      <c r="E239" s="8" t="s">
        <v>950</v>
      </c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12"/>
      <c r="AW239" s="12"/>
      <c r="AX239" s="12"/>
      <c r="AY239" s="12"/>
      <c r="AZ239" s="12"/>
      <c r="BA239" s="12"/>
      <c r="BB239" s="12"/>
      <c r="BC239" s="12"/>
      <c r="BD239" s="12"/>
      <c r="BE239" s="12"/>
      <c r="BF239" s="12"/>
      <c r="BG239" s="12"/>
      <c r="BH239" s="12"/>
      <c r="BI239" s="12"/>
      <c r="BJ239" s="12"/>
      <c r="BK239" s="12"/>
      <c r="BL239" s="12"/>
      <c r="BM239" s="12"/>
      <c r="BN239" s="12"/>
      <c r="BO239" s="12"/>
      <c r="BP239" s="12"/>
      <c r="BQ239" s="12"/>
      <c r="BR239" s="12"/>
      <c r="BS239" s="12"/>
      <c r="BT239" s="12"/>
      <c r="BU239" s="12"/>
      <c r="BV239" s="12"/>
      <c r="BW239" s="12"/>
      <c r="BX239" s="12"/>
      <c r="BY239" s="12"/>
      <c r="BZ239" s="12"/>
      <c r="CA239" s="12"/>
    </row>
    <row r="240" spans="1:79" x14ac:dyDescent="0.3">
      <c r="A240" s="8">
        <v>2</v>
      </c>
      <c r="B240" s="8" t="s">
        <v>955</v>
      </c>
      <c r="C240" s="8">
        <v>0</v>
      </c>
      <c r="D240" s="8">
        <v>281</v>
      </c>
      <c r="E240" s="8" t="s">
        <v>950</v>
      </c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12"/>
      <c r="AW240" s="12"/>
      <c r="AX240" s="12"/>
      <c r="AY240" s="12"/>
      <c r="AZ240" s="12"/>
      <c r="BA240" s="12"/>
      <c r="BB240" s="12"/>
      <c r="BC240" s="12"/>
      <c r="BD240" s="12"/>
      <c r="BE240" s="12"/>
      <c r="BF240" s="12"/>
      <c r="BG240" s="12"/>
      <c r="BH240" s="12"/>
      <c r="BI240" s="12"/>
      <c r="BJ240" s="12"/>
      <c r="BK240" s="12"/>
      <c r="BL240" s="12"/>
      <c r="BM240" s="12"/>
      <c r="BN240" s="12"/>
      <c r="BO240" s="12"/>
      <c r="BP240" s="12"/>
      <c r="BQ240" s="12"/>
      <c r="BR240" s="12"/>
      <c r="BS240" s="12"/>
      <c r="BT240" s="12"/>
      <c r="BU240" s="12"/>
      <c r="BV240" s="12"/>
      <c r="BW240" s="12"/>
      <c r="BX240" s="12"/>
      <c r="BY240" s="12"/>
      <c r="BZ240" s="12"/>
      <c r="CA240" s="12"/>
    </row>
    <row r="241" spans="1:79" x14ac:dyDescent="0.3">
      <c r="A241" s="8">
        <v>2</v>
      </c>
      <c r="B241" s="8" t="s">
        <v>955</v>
      </c>
      <c r="C241" s="8">
        <v>0</v>
      </c>
      <c r="D241" s="8">
        <v>282</v>
      </c>
      <c r="E241" s="8" t="s">
        <v>950</v>
      </c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12"/>
      <c r="AW241" s="12"/>
      <c r="AX241" s="12"/>
      <c r="AY241" s="12"/>
      <c r="AZ241" s="12"/>
      <c r="BA241" s="12"/>
      <c r="BB241" s="12"/>
      <c r="BC241" s="12"/>
      <c r="BD241" s="12"/>
      <c r="BE241" s="12"/>
      <c r="BF241" s="12"/>
      <c r="BG241" s="12"/>
      <c r="BH241" s="12"/>
      <c r="BI241" s="12"/>
      <c r="BJ241" s="12"/>
      <c r="BK241" s="12"/>
      <c r="BL241" s="12"/>
      <c r="BM241" s="12"/>
      <c r="BN241" s="12"/>
      <c r="BO241" s="12"/>
      <c r="BP241" s="12"/>
      <c r="BQ241" s="12"/>
      <c r="BR241" s="12"/>
      <c r="BS241" s="12"/>
      <c r="BT241" s="12"/>
      <c r="BU241" s="12"/>
      <c r="BV241" s="12"/>
      <c r="BW241" s="12"/>
      <c r="BX241" s="12"/>
      <c r="BY241" s="12"/>
      <c r="BZ241" s="12"/>
      <c r="CA241" s="12"/>
    </row>
    <row r="242" spans="1:79" x14ac:dyDescent="0.3">
      <c r="A242" s="8">
        <v>2</v>
      </c>
      <c r="B242" s="8" t="s">
        <v>955</v>
      </c>
      <c r="C242" s="8">
        <v>0</v>
      </c>
      <c r="D242" s="8">
        <v>283</v>
      </c>
      <c r="E242" s="8" t="s">
        <v>950</v>
      </c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12"/>
      <c r="AW242" s="12"/>
      <c r="AX242" s="12"/>
      <c r="AY242" s="12"/>
      <c r="AZ242" s="12"/>
      <c r="BA242" s="12"/>
      <c r="BB242" s="12"/>
      <c r="BC242" s="12"/>
      <c r="BD242" s="12"/>
      <c r="BE242" s="12"/>
      <c r="BF242" s="12"/>
      <c r="BG242" s="12"/>
      <c r="BH242" s="12"/>
      <c r="BI242" s="12"/>
      <c r="BJ242" s="12"/>
      <c r="BK242" s="12"/>
      <c r="BL242" s="12"/>
      <c r="BM242" s="12"/>
      <c r="BN242" s="12"/>
      <c r="BO242" s="12"/>
      <c r="BP242" s="12"/>
      <c r="BQ242" s="12"/>
      <c r="BR242" s="12"/>
      <c r="BS242" s="12"/>
      <c r="BT242" s="12"/>
      <c r="BU242" s="12"/>
      <c r="BV242" s="12"/>
      <c r="BW242" s="12"/>
      <c r="BX242" s="12"/>
      <c r="BY242" s="12"/>
      <c r="BZ242" s="12"/>
      <c r="CA242" s="12"/>
    </row>
    <row r="243" spans="1:79" x14ac:dyDescent="0.3">
      <c r="A243" s="8">
        <v>2</v>
      </c>
      <c r="B243" s="8" t="s">
        <v>955</v>
      </c>
      <c r="C243" s="8">
        <v>0</v>
      </c>
      <c r="D243" s="8">
        <v>284</v>
      </c>
      <c r="E243" s="8" t="s">
        <v>950</v>
      </c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12"/>
      <c r="AW243" s="12"/>
      <c r="AX243" s="12"/>
      <c r="AY243" s="12"/>
      <c r="AZ243" s="12"/>
      <c r="BA243" s="12"/>
      <c r="BB243" s="12"/>
      <c r="BC243" s="12"/>
      <c r="BD243" s="12"/>
      <c r="BE243" s="12"/>
      <c r="BF243" s="12"/>
      <c r="BG243" s="12"/>
      <c r="BH243" s="12"/>
      <c r="BI243" s="12"/>
      <c r="BJ243" s="12"/>
      <c r="BK243" s="12"/>
      <c r="BL243" s="12"/>
      <c r="BM243" s="12"/>
      <c r="BN243" s="12"/>
      <c r="BO243" s="12"/>
      <c r="BP243" s="12"/>
      <c r="BQ243" s="12"/>
      <c r="BR243" s="12"/>
      <c r="BS243" s="12"/>
      <c r="BT243" s="12"/>
      <c r="BU243" s="12"/>
      <c r="BV243" s="12"/>
      <c r="BW243" s="12"/>
      <c r="BX243" s="12"/>
      <c r="BY243" s="12"/>
      <c r="BZ243" s="12"/>
      <c r="CA243" s="12"/>
    </row>
    <row r="244" spans="1:79" x14ac:dyDescent="0.3">
      <c r="A244" s="8">
        <v>2</v>
      </c>
      <c r="B244" s="8" t="s">
        <v>955</v>
      </c>
      <c r="C244" s="8">
        <v>0</v>
      </c>
      <c r="D244" s="8">
        <v>285</v>
      </c>
      <c r="E244" s="8" t="s">
        <v>951</v>
      </c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12"/>
      <c r="AW244" s="12"/>
      <c r="AX244" s="12"/>
      <c r="AY244" s="12"/>
      <c r="AZ244" s="12"/>
      <c r="BA244" s="12"/>
      <c r="BB244" s="12"/>
      <c r="BC244" s="12"/>
      <c r="BD244" s="12"/>
      <c r="BE244" s="12"/>
      <c r="BF244" s="12"/>
      <c r="BG244" s="12"/>
      <c r="BH244" s="12"/>
      <c r="BI244" s="12"/>
      <c r="BJ244" s="12"/>
      <c r="BK244" s="12"/>
      <c r="BL244" s="12"/>
      <c r="BM244" s="12"/>
      <c r="BN244" s="12"/>
      <c r="BO244" s="12"/>
      <c r="BP244" s="12"/>
      <c r="BQ244" s="12"/>
      <c r="BR244" s="12"/>
      <c r="BS244" s="12"/>
      <c r="BT244" s="12"/>
      <c r="BU244" s="12"/>
      <c r="BV244" s="12"/>
      <c r="BW244" s="12"/>
      <c r="BX244" s="12"/>
      <c r="BY244" s="12"/>
      <c r="BZ244" s="12"/>
      <c r="CA244" s="12"/>
    </row>
    <row r="245" spans="1:79" x14ac:dyDescent="0.3">
      <c r="A245" s="8">
        <v>2</v>
      </c>
      <c r="B245" s="8" t="s">
        <v>955</v>
      </c>
      <c r="C245" s="8">
        <v>0</v>
      </c>
      <c r="D245" s="8">
        <v>286</v>
      </c>
      <c r="E245" s="8" t="s">
        <v>950</v>
      </c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12"/>
      <c r="AW245" s="12"/>
      <c r="AX245" s="12"/>
      <c r="AY245" s="12"/>
      <c r="AZ245" s="12"/>
      <c r="BA245" s="12"/>
      <c r="BB245" s="12"/>
      <c r="BC245" s="12"/>
      <c r="BD245" s="12"/>
      <c r="BE245" s="12"/>
      <c r="BF245" s="12"/>
      <c r="BG245" s="12"/>
      <c r="BH245" s="12"/>
      <c r="BI245" s="12"/>
      <c r="BJ245" s="12"/>
      <c r="BK245" s="12"/>
      <c r="BL245" s="12"/>
      <c r="BM245" s="12"/>
      <c r="BN245" s="12"/>
      <c r="BO245" s="12"/>
      <c r="BP245" s="12"/>
      <c r="BQ245" s="12"/>
      <c r="BR245" s="12"/>
      <c r="BS245" s="12"/>
      <c r="BT245" s="12"/>
      <c r="BU245" s="12"/>
      <c r="BV245" s="12"/>
      <c r="BW245" s="12"/>
      <c r="BX245" s="12"/>
      <c r="BY245" s="12"/>
      <c r="BZ245" s="12"/>
      <c r="CA245" s="12"/>
    </row>
    <row r="246" spans="1:79" x14ac:dyDescent="0.3">
      <c r="A246" s="8">
        <v>2</v>
      </c>
      <c r="B246" s="8" t="s">
        <v>955</v>
      </c>
      <c r="C246" s="8">
        <v>0</v>
      </c>
      <c r="D246" s="8">
        <v>287</v>
      </c>
      <c r="E246" s="8" t="s">
        <v>951</v>
      </c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12"/>
      <c r="AW246" s="12"/>
      <c r="AX246" s="12"/>
      <c r="AY246" s="12"/>
      <c r="AZ246" s="12"/>
      <c r="BA246" s="12"/>
      <c r="BB246" s="12"/>
      <c r="BC246" s="12"/>
      <c r="BD246" s="12"/>
      <c r="BE246" s="12"/>
      <c r="BF246" s="12"/>
      <c r="BG246" s="12"/>
      <c r="BH246" s="12"/>
      <c r="BI246" s="12"/>
      <c r="BJ246" s="12"/>
      <c r="BK246" s="12"/>
      <c r="BL246" s="12"/>
      <c r="BM246" s="12"/>
      <c r="BN246" s="12"/>
      <c r="BO246" s="12"/>
      <c r="BP246" s="12"/>
      <c r="BQ246" s="12"/>
      <c r="BR246" s="12"/>
      <c r="BS246" s="12"/>
      <c r="BT246" s="12"/>
      <c r="BU246" s="12"/>
      <c r="BV246" s="12"/>
      <c r="BW246" s="12"/>
      <c r="BX246" s="12"/>
      <c r="BY246" s="12"/>
      <c r="BZ246" s="12"/>
      <c r="CA246" s="12"/>
    </row>
    <row r="247" spans="1:79" x14ac:dyDescent="0.3">
      <c r="A247" s="8">
        <v>2</v>
      </c>
      <c r="B247" s="8" t="s">
        <v>955</v>
      </c>
      <c r="C247" s="8">
        <v>0</v>
      </c>
      <c r="D247" s="8">
        <v>288</v>
      </c>
      <c r="E247" s="8" t="s">
        <v>950</v>
      </c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12"/>
      <c r="AW247" s="12"/>
      <c r="AX247" s="12"/>
      <c r="AY247" s="12"/>
      <c r="AZ247" s="12"/>
      <c r="BA247" s="12"/>
      <c r="BB247" s="12"/>
      <c r="BC247" s="12"/>
      <c r="BD247" s="12"/>
      <c r="BE247" s="12"/>
      <c r="BF247" s="12"/>
      <c r="BG247" s="12"/>
      <c r="BH247" s="12"/>
      <c r="BI247" s="12"/>
      <c r="BJ247" s="12"/>
      <c r="BK247" s="12"/>
      <c r="BL247" s="12"/>
      <c r="BM247" s="12"/>
      <c r="BN247" s="12"/>
      <c r="BO247" s="12"/>
      <c r="BP247" s="12"/>
      <c r="BQ247" s="12"/>
      <c r="BR247" s="12"/>
      <c r="BS247" s="12"/>
      <c r="BT247" s="12"/>
      <c r="BU247" s="12"/>
      <c r="BV247" s="12"/>
      <c r="BW247" s="12"/>
      <c r="BX247" s="12"/>
      <c r="BY247" s="12"/>
      <c r="BZ247" s="12"/>
      <c r="CA247" s="12"/>
    </row>
    <row r="248" spans="1:79" x14ac:dyDescent="0.3">
      <c r="A248" s="8">
        <v>2</v>
      </c>
      <c r="B248" s="8" t="s">
        <v>955</v>
      </c>
      <c r="C248" s="8">
        <v>0</v>
      </c>
      <c r="D248" s="8">
        <v>289</v>
      </c>
      <c r="E248" s="8" t="s">
        <v>951</v>
      </c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12"/>
      <c r="AW248" s="12"/>
      <c r="AX248" s="12"/>
      <c r="AY248" s="12"/>
      <c r="AZ248" s="12"/>
      <c r="BA248" s="12"/>
      <c r="BB248" s="12"/>
      <c r="BC248" s="12"/>
      <c r="BD248" s="12"/>
      <c r="BE248" s="12"/>
      <c r="BF248" s="12"/>
      <c r="BG248" s="12"/>
      <c r="BH248" s="12"/>
      <c r="BI248" s="12"/>
      <c r="BJ248" s="12"/>
      <c r="BK248" s="12"/>
      <c r="BL248" s="12"/>
      <c r="BM248" s="12"/>
      <c r="BN248" s="12"/>
      <c r="BO248" s="12"/>
      <c r="BP248" s="12"/>
      <c r="BQ248" s="12"/>
      <c r="BR248" s="12"/>
      <c r="BS248" s="12"/>
      <c r="BT248" s="12"/>
      <c r="BU248" s="12"/>
      <c r="BV248" s="12"/>
      <c r="BW248" s="12"/>
      <c r="BX248" s="12"/>
      <c r="BY248" s="12"/>
      <c r="BZ248" s="12"/>
      <c r="CA248" s="12"/>
    </row>
    <row r="249" spans="1:79" x14ac:dyDescent="0.3">
      <c r="A249" s="8">
        <v>2</v>
      </c>
      <c r="B249" s="8" t="s">
        <v>955</v>
      </c>
      <c r="C249" s="8">
        <v>0</v>
      </c>
      <c r="D249" s="8">
        <v>290</v>
      </c>
      <c r="E249" s="8" t="s">
        <v>950</v>
      </c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12"/>
      <c r="AW249" s="12"/>
      <c r="AX249" s="12"/>
      <c r="AY249" s="12"/>
      <c r="AZ249" s="12"/>
      <c r="BA249" s="12"/>
      <c r="BB249" s="12"/>
      <c r="BC249" s="12"/>
      <c r="BD249" s="12"/>
      <c r="BE249" s="12"/>
      <c r="BF249" s="12"/>
      <c r="BG249" s="12"/>
      <c r="BH249" s="12"/>
      <c r="BI249" s="12"/>
      <c r="BJ249" s="12"/>
      <c r="BK249" s="12"/>
      <c r="BL249" s="12"/>
      <c r="BM249" s="12"/>
      <c r="BN249" s="12"/>
      <c r="BO249" s="12"/>
      <c r="BP249" s="12"/>
      <c r="BQ249" s="12"/>
      <c r="BR249" s="12"/>
      <c r="BS249" s="12"/>
      <c r="BT249" s="12"/>
      <c r="BU249" s="12"/>
      <c r="BV249" s="12"/>
      <c r="BW249" s="12"/>
      <c r="BX249" s="12"/>
      <c r="BY249" s="12"/>
      <c r="BZ249" s="12"/>
      <c r="CA249" s="12"/>
    </row>
    <row r="250" spans="1:79" x14ac:dyDescent="0.3">
      <c r="A250" s="8">
        <v>2</v>
      </c>
      <c r="B250" s="8" t="s">
        <v>955</v>
      </c>
      <c r="C250" s="8">
        <v>0</v>
      </c>
      <c r="D250" s="8">
        <v>291</v>
      </c>
      <c r="E250" s="8" t="s">
        <v>950</v>
      </c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12"/>
      <c r="AW250" s="12"/>
      <c r="AX250" s="12"/>
      <c r="AY250" s="12"/>
      <c r="AZ250" s="12"/>
      <c r="BA250" s="12"/>
      <c r="BB250" s="12"/>
      <c r="BC250" s="12"/>
      <c r="BD250" s="12"/>
      <c r="BE250" s="12"/>
      <c r="BF250" s="12"/>
      <c r="BG250" s="12"/>
      <c r="BH250" s="12"/>
      <c r="BI250" s="12"/>
      <c r="BJ250" s="12"/>
      <c r="BK250" s="12"/>
      <c r="BL250" s="12"/>
      <c r="BM250" s="12"/>
      <c r="BN250" s="12"/>
      <c r="BO250" s="12"/>
      <c r="BP250" s="12"/>
      <c r="BQ250" s="12"/>
      <c r="BR250" s="12"/>
      <c r="BS250" s="12"/>
      <c r="BT250" s="12"/>
      <c r="BU250" s="12"/>
      <c r="BV250" s="12"/>
      <c r="BW250" s="12"/>
      <c r="BX250" s="12"/>
      <c r="BY250" s="12"/>
      <c r="BZ250" s="12"/>
      <c r="CA250" s="12"/>
    </row>
    <row r="251" spans="1:79" x14ac:dyDescent="0.3">
      <c r="A251" s="8">
        <v>2</v>
      </c>
      <c r="B251" s="8" t="s">
        <v>955</v>
      </c>
      <c r="C251" s="8">
        <v>0</v>
      </c>
      <c r="D251" s="8">
        <v>292</v>
      </c>
      <c r="E251" s="8" t="s">
        <v>950</v>
      </c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12"/>
      <c r="AW251" s="12"/>
      <c r="AX251" s="12"/>
      <c r="AY251" s="12"/>
      <c r="AZ251" s="12"/>
      <c r="BA251" s="12"/>
      <c r="BB251" s="12"/>
      <c r="BC251" s="12"/>
      <c r="BD251" s="12"/>
      <c r="BE251" s="12"/>
      <c r="BF251" s="12"/>
      <c r="BG251" s="12"/>
      <c r="BH251" s="12"/>
      <c r="BI251" s="12"/>
      <c r="BJ251" s="12"/>
      <c r="BK251" s="12"/>
      <c r="BL251" s="12"/>
      <c r="BM251" s="12"/>
      <c r="BN251" s="12"/>
      <c r="BO251" s="12"/>
      <c r="BP251" s="12"/>
      <c r="BQ251" s="12"/>
      <c r="BR251" s="12"/>
      <c r="BS251" s="12"/>
      <c r="BT251" s="12"/>
      <c r="BU251" s="12"/>
      <c r="BV251" s="12"/>
      <c r="BW251" s="12"/>
      <c r="BX251" s="12"/>
      <c r="BY251" s="12"/>
      <c r="BZ251" s="12"/>
      <c r="CA251" s="12"/>
    </row>
    <row r="252" spans="1:79" x14ac:dyDescent="0.3">
      <c r="A252" s="8">
        <v>3</v>
      </c>
      <c r="B252" s="8" t="s">
        <v>955</v>
      </c>
      <c r="C252" s="8">
        <v>0</v>
      </c>
      <c r="D252" s="8">
        <v>293</v>
      </c>
      <c r="E252" s="8" t="s">
        <v>951</v>
      </c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12"/>
      <c r="AW252" s="12"/>
      <c r="AX252" s="12"/>
      <c r="AY252" s="12"/>
      <c r="AZ252" s="12"/>
      <c r="BA252" s="12"/>
      <c r="BB252" s="12"/>
      <c r="BC252" s="12"/>
      <c r="BD252" s="12"/>
      <c r="BE252" s="12"/>
      <c r="BF252" s="12"/>
      <c r="BG252" s="12"/>
      <c r="BH252" s="12"/>
      <c r="BI252" s="12"/>
      <c r="BJ252" s="12"/>
      <c r="BK252" s="12"/>
      <c r="BL252" s="12"/>
      <c r="BM252" s="12"/>
      <c r="BN252" s="12"/>
      <c r="BO252" s="12"/>
      <c r="BP252" s="12"/>
      <c r="BQ252" s="12"/>
      <c r="BR252" s="12"/>
      <c r="BS252" s="12"/>
      <c r="BT252" s="12"/>
      <c r="BU252" s="12"/>
      <c r="BV252" s="12"/>
      <c r="BW252" s="12"/>
      <c r="BX252" s="12"/>
      <c r="BY252" s="12"/>
      <c r="BZ252" s="12"/>
      <c r="CA252" s="12"/>
    </row>
    <row r="253" spans="1:79" x14ac:dyDescent="0.3">
      <c r="A253" s="8">
        <v>3</v>
      </c>
      <c r="B253" s="8" t="s">
        <v>955</v>
      </c>
      <c r="C253" s="8">
        <v>0</v>
      </c>
      <c r="D253" s="8">
        <v>294</v>
      </c>
      <c r="E253" s="8" t="s">
        <v>951</v>
      </c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12"/>
      <c r="AW253" s="12"/>
      <c r="AX253" s="12"/>
      <c r="AY253" s="12"/>
      <c r="AZ253" s="12"/>
      <c r="BA253" s="12"/>
      <c r="BB253" s="12"/>
      <c r="BC253" s="12"/>
      <c r="BD253" s="12"/>
      <c r="BE253" s="12"/>
      <c r="BF253" s="12"/>
      <c r="BG253" s="12"/>
      <c r="BH253" s="12"/>
      <c r="BI253" s="12"/>
      <c r="BJ253" s="12"/>
      <c r="BK253" s="12"/>
      <c r="BL253" s="12"/>
      <c r="BM253" s="12"/>
      <c r="BN253" s="12"/>
      <c r="BO253" s="12"/>
      <c r="BP253" s="12"/>
      <c r="BQ253" s="12"/>
      <c r="BR253" s="12"/>
      <c r="BS253" s="12"/>
      <c r="BT253" s="12"/>
      <c r="BU253" s="12"/>
      <c r="BV253" s="12"/>
      <c r="BW253" s="12"/>
      <c r="BX253" s="12"/>
      <c r="BY253" s="12"/>
      <c r="BZ253" s="12"/>
      <c r="CA253" s="12"/>
    </row>
    <row r="254" spans="1:79" x14ac:dyDescent="0.3">
      <c r="A254" s="8">
        <v>3</v>
      </c>
      <c r="B254" s="8" t="s">
        <v>955</v>
      </c>
      <c r="C254" s="8">
        <v>0</v>
      </c>
      <c r="D254" s="8">
        <v>295</v>
      </c>
      <c r="E254" s="8" t="s">
        <v>951</v>
      </c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12"/>
      <c r="AW254" s="12"/>
      <c r="AX254" s="12"/>
      <c r="AY254" s="12"/>
      <c r="AZ254" s="12"/>
      <c r="BA254" s="12"/>
      <c r="BB254" s="12"/>
      <c r="BC254" s="12"/>
      <c r="BD254" s="12"/>
      <c r="BE254" s="12"/>
      <c r="BF254" s="12"/>
      <c r="BG254" s="12"/>
      <c r="BH254" s="12"/>
      <c r="BI254" s="12"/>
      <c r="BJ254" s="12"/>
      <c r="BK254" s="12"/>
      <c r="BL254" s="12"/>
      <c r="BM254" s="12"/>
      <c r="BN254" s="12"/>
      <c r="BO254" s="12"/>
      <c r="BP254" s="12"/>
      <c r="BQ254" s="12"/>
      <c r="BR254" s="12"/>
      <c r="BS254" s="12"/>
      <c r="BT254" s="12"/>
      <c r="BU254" s="12"/>
      <c r="BV254" s="12"/>
      <c r="BW254" s="12"/>
      <c r="BX254" s="12"/>
      <c r="BY254" s="12"/>
      <c r="BZ254" s="12"/>
      <c r="CA254" s="12"/>
    </row>
    <row r="255" spans="1:79" x14ac:dyDescent="0.3">
      <c r="A255" s="8">
        <v>3</v>
      </c>
      <c r="B255" s="8" t="s">
        <v>955</v>
      </c>
      <c r="C255" s="8">
        <v>0</v>
      </c>
      <c r="D255" s="8">
        <v>296</v>
      </c>
      <c r="E255" s="8" t="s">
        <v>951</v>
      </c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/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  <c r="BW255" s="12"/>
      <c r="BX255" s="12"/>
      <c r="BY255" s="12"/>
      <c r="BZ255" s="12"/>
      <c r="CA255" s="12"/>
    </row>
    <row r="256" spans="1:79" x14ac:dyDescent="0.3">
      <c r="A256" s="8">
        <v>3</v>
      </c>
      <c r="B256" s="8" t="s">
        <v>955</v>
      </c>
      <c r="C256" s="8">
        <v>0</v>
      </c>
      <c r="D256" s="8">
        <v>297</v>
      </c>
      <c r="E256" s="8" t="s">
        <v>951</v>
      </c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/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  <c r="BW256" s="12"/>
      <c r="BX256" s="12"/>
      <c r="BY256" s="12"/>
      <c r="BZ256" s="12"/>
      <c r="CA256" s="12"/>
    </row>
    <row r="257" spans="1:79" x14ac:dyDescent="0.3">
      <c r="A257" s="8">
        <v>3</v>
      </c>
      <c r="B257" s="8" t="s">
        <v>955</v>
      </c>
      <c r="C257" s="8">
        <v>0</v>
      </c>
      <c r="D257" s="8">
        <v>298</v>
      </c>
      <c r="E257" s="8" t="s">
        <v>950</v>
      </c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12"/>
      <c r="AW257" s="12"/>
      <c r="AX257" s="12"/>
      <c r="AY257" s="12"/>
      <c r="AZ257" s="12"/>
      <c r="BA257" s="12"/>
      <c r="BB257" s="12"/>
      <c r="BC257" s="12"/>
      <c r="BD257" s="12"/>
      <c r="BE257" s="12"/>
      <c r="BF257" s="12"/>
      <c r="BG257" s="12"/>
      <c r="BH257" s="12"/>
      <c r="BI257" s="12"/>
      <c r="BJ257" s="12"/>
      <c r="BK257" s="12"/>
      <c r="BL257" s="12"/>
      <c r="BM257" s="12"/>
      <c r="BN257" s="12"/>
      <c r="BO257" s="12"/>
      <c r="BP257" s="12"/>
      <c r="BQ257" s="12"/>
      <c r="BR257" s="12"/>
      <c r="BS257" s="12"/>
      <c r="BT257" s="12"/>
      <c r="BU257" s="12"/>
      <c r="BV257" s="12"/>
      <c r="BW257" s="12"/>
      <c r="BX257" s="12"/>
      <c r="BY257" s="12"/>
      <c r="BZ257" s="12"/>
      <c r="CA257" s="12"/>
    </row>
    <row r="258" spans="1:79" x14ac:dyDescent="0.3">
      <c r="A258" s="8">
        <v>3</v>
      </c>
      <c r="B258" s="8" t="s">
        <v>955</v>
      </c>
      <c r="C258" s="8">
        <v>0</v>
      </c>
      <c r="D258" s="8">
        <v>299</v>
      </c>
      <c r="E258" s="8" t="s">
        <v>951</v>
      </c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12"/>
      <c r="AW258" s="12"/>
      <c r="AX258" s="12"/>
      <c r="AY258" s="12"/>
      <c r="AZ258" s="12"/>
      <c r="BA258" s="12"/>
      <c r="BB258" s="12"/>
      <c r="BC258" s="12"/>
      <c r="BD258" s="12"/>
      <c r="BE258" s="12"/>
      <c r="BF258" s="12"/>
      <c r="BG258" s="12"/>
      <c r="BH258" s="12"/>
      <c r="BI258" s="12"/>
      <c r="BJ258" s="12"/>
      <c r="BK258" s="12"/>
      <c r="BL258" s="12"/>
      <c r="BM258" s="12"/>
      <c r="BN258" s="12"/>
      <c r="BO258" s="12"/>
      <c r="BP258" s="12"/>
      <c r="BQ258" s="12"/>
      <c r="BR258" s="12"/>
      <c r="BS258" s="12"/>
      <c r="BT258" s="12"/>
      <c r="BU258" s="12"/>
      <c r="BV258" s="12"/>
      <c r="BW258" s="12"/>
      <c r="BX258" s="12"/>
      <c r="BY258" s="12"/>
      <c r="BZ258" s="12"/>
      <c r="CA258" s="12"/>
    </row>
    <row r="259" spans="1:79" x14ac:dyDescent="0.3">
      <c r="A259" s="8">
        <v>3</v>
      </c>
      <c r="B259" s="8" t="s">
        <v>955</v>
      </c>
      <c r="C259" s="8">
        <v>0</v>
      </c>
      <c r="D259" s="8">
        <v>300</v>
      </c>
      <c r="E259" s="8" t="s">
        <v>950</v>
      </c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12"/>
      <c r="AW259" s="12"/>
      <c r="AX259" s="12"/>
      <c r="AY259" s="12"/>
      <c r="AZ259" s="12"/>
      <c r="BA259" s="12"/>
      <c r="BB259" s="12"/>
      <c r="BC259" s="12"/>
      <c r="BD259" s="12"/>
      <c r="BE259" s="12"/>
      <c r="BF259" s="12"/>
      <c r="BG259" s="12"/>
      <c r="BH259" s="12"/>
      <c r="BI259" s="12"/>
      <c r="BJ259" s="12"/>
      <c r="BK259" s="12"/>
      <c r="BL259" s="12"/>
      <c r="BM259" s="12"/>
      <c r="BN259" s="12"/>
      <c r="BO259" s="12"/>
      <c r="BP259" s="12"/>
      <c r="BQ259" s="12"/>
      <c r="BR259" s="12"/>
      <c r="BS259" s="12"/>
      <c r="BT259" s="12"/>
      <c r="BU259" s="12"/>
      <c r="BV259" s="12"/>
      <c r="BW259" s="12"/>
      <c r="BX259" s="12"/>
      <c r="BY259" s="12"/>
      <c r="BZ259" s="12"/>
      <c r="CA259" s="12"/>
    </row>
    <row r="260" spans="1:79" x14ac:dyDescent="0.3">
      <c r="A260" s="8">
        <v>3</v>
      </c>
      <c r="B260" s="8" t="s">
        <v>955</v>
      </c>
      <c r="C260" s="8">
        <v>0</v>
      </c>
      <c r="D260" s="8">
        <v>301</v>
      </c>
      <c r="E260" s="8" t="s">
        <v>951</v>
      </c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12"/>
      <c r="AW260" s="12"/>
      <c r="AX260" s="12"/>
      <c r="AY260" s="12"/>
      <c r="AZ260" s="12"/>
      <c r="BA260" s="12"/>
      <c r="BB260" s="12"/>
      <c r="BC260" s="12"/>
      <c r="BD260" s="12"/>
      <c r="BE260" s="12"/>
      <c r="BF260" s="12"/>
      <c r="BG260" s="12"/>
      <c r="BH260" s="12"/>
      <c r="BI260" s="12"/>
      <c r="BJ260" s="12"/>
      <c r="BK260" s="12"/>
      <c r="BL260" s="12"/>
      <c r="BM260" s="12"/>
      <c r="BN260" s="12"/>
      <c r="BO260" s="12"/>
      <c r="BP260" s="12"/>
      <c r="BQ260" s="12"/>
      <c r="BR260" s="12"/>
      <c r="BS260" s="12"/>
      <c r="BT260" s="12"/>
      <c r="BU260" s="12"/>
      <c r="BV260" s="12"/>
      <c r="BW260" s="12"/>
      <c r="BX260" s="12"/>
      <c r="BY260" s="12"/>
      <c r="BZ260" s="12"/>
      <c r="CA260" s="12"/>
    </row>
    <row r="261" spans="1:79" x14ac:dyDescent="0.3">
      <c r="A261" s="8">
        <v>3</v>
      </c>
      <c r="B261" s="8" t="s">
        <v>955</v>
      </c>
      <c r="C261" s="8">
        <v>0</v>
      </c>
      <c r="D261" s="8">
        <v>302</v>
      </c>
      <c r="E261" s="8" t="s">
        <v>950</v>
      </c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12"/>
      <c r="AW261" s="12"/>
      <c r="AX261" s="12"/>
      <c r="AY261" s="12"/>
      <c r="AZ261" s="12"/>
      <c r="BA261" s="12"/>
      <c r="BB261" s="12"/>
      <c r="BC261" s="12"/>
      <c r="BD261" s="12"/>
      <c r="BE261" s="12"/>
      <c r="BF261" s="12"/>
      <c r="BG261" s="12"/>
      <c r="BH261" s="12"/>
      <c r="BI261" s="12"/>
      <c r="BJ261" s="12"/>
      <c r="BK261" s="12"/>
      <c r="BL261" s="12"/>
      <c r="BM261" s="12"/>
      <c r="BN261" s="12"/>
      <c r="BO261" s="12"/>
      <c r="BP261" s="12"/>
      <c r="BQ261" s="12"/>
      <c r="BR261" s="12"/>
      <c r="BS261" s="12"/>
      <c r="BT261" s="12"/>
      <c r="BU261" s="12"/>
      <c r="BV261" s="12"/>
      <c r="BW261" s="12"/>
      <c r="BX261" s="12"/>
      <c r="BY261" s="12"/>
      <c r="BZ261" s="12"/>
      <c r="CA261" s="12"/>
    </row>
    <row r="262" spans="1:79" x14ac:dyDescent="0.3">
      <c r="A262" s="8">
        <v>3</v>
      </c>
      <c r="B262" s="8" t="s">
        <v>955</v>
      </c>
      <c r="C262" s="8">
        <v>0</v>
      </c>
      <c r="D262" s="8">
        <v>303</v>
      </c>
      <c r="E262" s="8" t="s">
        <v>951</v>
      </c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12"/>
      <c r="AW262" s="12"/>
      <c r="AX262" s="12"/>
      <c r="AY262" s="12"/>
      <c r="AZ262" s="12"/>
      <c r="BA262" s="12"/>
      <c r="BB262" s="12"/>
      <c r="BC262" s="12"/>
      <c r="BD262" s="12"/>
      <c r="BE262" s="12"/>
      <c r="BF262" s="12"/>
      <c r="BG262" s="12"/>
      <c r="BH262" s="12"/>
      <c r="BI262" s="12"/>
      <c r="BJ262" s="12"/>
      <c r="BK262" s="12"/>
      <c r="BL262" s="12"/>
      <c r="BM262" s="12"/>
      <c r="BN262" s="12"/>
      <c r="BO262" s="12"/>
      <c r="BP262" s="12"/>
      <c r="BQ262" s="12"/>
      <c r="BR262" s="12"/>
      <c r="BS262" s="12"/>
      <c r="BT262" s="12"/>
      <c r="BU262" s="12"/>
      <c r="BV262" s="12"/>
      <c r="BW262" s="12"/>
      <c r="BX262" s="12"/>
      <c r="BY262" s="12"/>
      <c r="BZ262" s="12"/>
      <c r="CA262" s="12"/>
    </row>
    <row r="263" spans="1:79" x14ac:dyDescent="0.3">
      <c r="A263" s="8">
        <v>3</v>
      </c>
      <c r="B263" s="8" t="s">
        <v>955</v>
      </c>
      <c r="C263" s="8">
        <v>0</v>
      </c>
      <c r="D263" s="8">
        <v>304</v>
      </c>
      <c r="E263" s="8" t="s">
        <v>951</v>
      </c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12"/>
      <c r="AW263" s="12"/>
      <c r="AX263" s="12"/>
      <c r="AY263" s="12"/>
      <c r="AZ263" s="12"/>
      <c r="BA263" s="12"/>
      <c r="BB263" s="12"/>
      <c r="BC263" s="12"/>
      <c r="BD263" s="12"/>
      <c r="BE263" s="12"/>
      <c r="BF263" s="12"/>
      <c r="BG263" s="12"/>
      <c r="BH263" s="12"/>
      <c r="BI263" s="12"/>
      <c r="BJ263" s="12"/>
      <c r="BK263" s="12"/>
      <c r="BL263" s="12"/>
      <c r="BM263" s="12"/>
      <c r="BN263" s="12"/>
      <c r="BO263" s="12"/>
      <c r="BP263" s="12"/>
      <c r="BQ263" s="12"/>
      <c r="BR263" s="12"/>
      <c r="BS263" s="12"/>
      <c r="BT263" s="12"/>
      <c r="BU263" s="12"/>
      <c r="BV263" s="12"/>
      <c r="BW263" s="12"/>
      <c r="BX263" s="12"/>
      <c r="BY263" s="12"/>
      <c r="BZ263" s="12"/>
      <c r="CA263" s="12"/>
    </row>
    <row r="264" spans="1:79" x14ac:dyDescent="0.3">
      <c r="A264" s="8">
        <v>3</v>
      </c>
      <c r="B264" s="8" t="s">
        <v>955</v>
      </c>
      <c r="C264" s="8">
        <v>0</v>
      </c>
      <c r="D264" s="8">
        <v>305</v>
      </c>
      <c r="E264" s="8" t="s">
        <v>951</v>
      </c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12"/>
      <c r="AW264" s="12"/>
      <c r="AX264" s="12"/>
      <c r="AY264" s="12"/>
      <c r="AZ264" s="12"/>
      <c r="BA264" s="12"/>
      <c r="BB264" s="12"/>
      <c r="BC264" s="12"/>
      <c r="BD264" s="12"/>
      <c r="BE264" s="12"/>
      <c r="BF264" s="12"/>
      <c r="BG264" s="12"/>
      <c r="BH264" s="12"/>
      <c r="BI264" s="12"/>
      <c r="BJ264" s="12"/>
      <c r="BK264" s="12"/>
      <c r="BL264" s="12"/>
      <c r="BM264" s="12"/>
      <c r="BN264" s="12"/>
      <c r="BO264" s="12"/>
      <c r="BP264" s="12"/>
      <c r="BQ264" s="12"/>
      <c r="BR264" s="12"/>
      <c r="BS264" s="12"/>
      <c r="BT264" s="12"/>
      <c r="BU264" s="12"/>
      <c r="BV264" s="12"/>
      <c r="BW264" s="12"/>
      <c r="BX264" s="12"/>
      <c r="BY264" s="12"/>
      <c r="BZ264" s="12"/>
      <c r="CA264" s="12"/>
    </row>
    <row r="265" spans="1:79" x14ac:dyDescent="0.3">
      <c r="A265" s="8">
        <v>3</v>
      </c>
      <c r="B265" s="8" t="s">
        <v>955</v>
      </c>
      <c r="C265" s="8">
        <v>0</v>
      </c>
      <c r="D265" s="8">
        <v>306</v>
      </c>
      <c r="E265" s="8" t="s">
        <v>951</v>
      </c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12"/>
      <c r="AW265" s="12"/>
      <c r="AX265" s="12"/>
      <c r="AY265" s="12"/>
      <c r="AZ265" s="12"/>
      <c r="BA265" s="12"/>
      <c r="BB265" s="12"/>
      <c r="BC265" s="12"/>
      <c r="BD265" s="12"/>
      <c r="BE265" s="12"/>
      <c r="BF265" s="12"/>
      <c r="BG265" s="12"/>
      <c r="BH265" s="12"/>
      <c r="BI265" s="12"/>
      <c r="BJ265" s="12"/>
      <c r="BK265" s="12"/>
      <c r="BL265" s="12"/>
      <c r="BM265" s="12"/>
      <c r="BN265" s="12"/>
      <c r="BO265" s="12"/>
      <c r="BP265" s="12"/>
      <c r="BQ265" s="12"/>
      <c r="BR265" s="12"/>
      <c r="BS265" s="12"/>
      <c r="BT265" s="12"/>
      <c r="BU265" s="12"/>
      <c r="BV265" s="12"/>
      <c r="BW265" s="12"/>
      <c r="BX265" s="12"/>
      <c r="BY265" s="12"/>
      <c r="BZ265" s="12"/>
      <c r="CA265" s="12"/>
    </row>
    <row r="266" spans="1:79" x14ac:dyDescent="0.3">
      <c r="A266" s="8">
        <v>3</v>
      </c>
      <c r="B266" s="8" t="s">
        <v>955</v>
      </c>
      <c r="C266" s="8">
        <v>0</v>
      </c>
      <c r="D266" s="8">
        <v>307</v>
      </c>
      <c r="E266" s="8" t="s">
        <v>951</v>
      </c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12"/>
      <c r="AW266" s="12"/>
      <c r="AX266" s="12"/>
      <c r="AY266" s="12"/>
      <c r="AZ266" s="12"/>
      <c r="BA266" s="12"/>
      <c r="BB266" s="12"/>
      <c r="BC266" s="12"/>
      <c r="BD266" s="12"/>
      <c r="BE266" s="12"/>
      <c r="BF266" s="12"/>
      <c r="BG266" s="12"/>
      <c r="BH266" s="12"/>
      <c r="BI266" s="12"/>
      <c r="BJ266" s="12"/>
      <c r="BK266" s="12"/>
      <c r="BL266" s="12"/>
      <c r="BM266" s="12"/>
      <c r="BN266" s="12"/>
      <c r="BO266" s="12"/>
      <c r="BP266" s="12"/>
      <c r="BQ266" s="12"/>
      <c r="BR266" s="12"/>
      <c r="BS266" s="12"/>
      <c r="BT266" s="12"/>
      <c r="BU266" s="12"/>
      <c r="BV266" s="12"/>
      <c r="BW266" s="12"/>
      <c r="BX266" s="12"/>
      <c r="BY266" s="12"/>
      <c r="BZ266" s="12"/>
      <c r="CA266" s="12"/>
    </row>
    <row r="267" spans="1:79" x14ac:dyDescent="0.3">
      <c r="A267" s="8">
        <v>3</v>
      </c>
      <c r="B267" s="8" t="s">
        <v>955</v>
      </c>
      <c r="C267" s="8">
        <v>0</v>
      </c>
      <c r="D267" s="8">
        <v>308</v>
      </c>
      <c r="E267" s="8" t="s">
        <v>950</v>
      </c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12"/>
      <c r="AW267" s="12"/>
      <c r="AX267" s="12"/>
      <c r="AY267" s="12"/>
      <c r="AZ267" s="12"/>
      <c r="BA267" s="12"/>
      <c r="BB267" s="12"/>
      <c r="BC267" s="12"/>
      <c r="BD267" s="12"/>
      <c r="BE267" s="12"/>
      <c r="BF267" s="12"/>
      <c r="BG267" s="12"/>
      <c r="BH267" s="12"/>
      <c r="BI267" s="12"/>
      <c r="BJ267" s="12"/>
      <c r="BK267" s="12"/>
      <c r="BL267" s="12"/>
      <c r="BM267" s="12"/>
      <c r="BN267" s="12"/>
      <c r="BO267" s="12"/>
      <c r="BP267" s="12"/>
      <c r="BQ267" s="12"/>
      <c r="BR267" s="12"/>
      <c r="BS267" s="12"/>
      <c r="BT267" s="12"/>
      <c r="BU267" s="12"/>
      <c r="BV267" s="12"/>
      <c r="BW267" s="12"/>
      <c r="BX267" s="12"/>
      <c r="BY267" s="12"/>
      <c r="BZ267" s="12"/>
      <c r="CA267" s="12"/>
    </row>
    <row r="268" spans="1:79" x14ac:dyDescent="0.3">
      <c r="A268" s="8">
        <v>3</v>
      </c>
      <c r="B268" s="8" t="s">
        <v>955</v>
      </c>
      <c r="C268" s="8">
        <v>0</v>
      </c>
      <c r="D268" s="8">
        <v>309</v>
      </c>
      <c r="E268" s="8" t="s">
        <v>950</v>
      </c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12"/>
      <c r="AW268" s="12"/>
      <c r="AX268" s="12"/>
      <c r="AY268" s="12"/>
      <c r="AZ268" s="12"/>
      <c r="BA268" s="12"/>
      <c r="BB268" s="12"/>
      <c r="BC268" s="12"/>
      <c r="BD268" s="12"/>
      <c r="BE268" s="12"/>
      <c r="BF268" s="12"/>
      <c r="BG268" s="12"/>
      <c r="BH268" s="12"/>
      <c r="BI268" s="12"/>
      <c r="BJ268" s="12"/>
      <c r="BK268" s="12"/>
      <c r="BL268" s="12"/>
      <c r="BM268" s="12"/>
      <c r="BN268" s="12"/>
      <c r="BO268" s="12"/>
      <c r="BP268" s="12"/>
      <c r="BQ268" s="12"/>
      <c r="BR268" s="12"/>
      <c r="BS268" s="12"/>
      <c r="BT268" s="12"/>
      <c r="BU268" s="12"/>
      <c r="BV268" s="12"/>
      <c r="BW268" s="12"/>
      <c r="BX268" s="12"/>
      <c r="BY268" s="12"/>
      <c r="BZ268" s="12"/>
      <c r="CA268" s="12"/>
    </row>
    <row r="269" spans="1:79" x14ac:dyDescent="0.3">
      <c r="A269" s="8">
        <v>3</v>
      </c>
      <c r="B269" s="8" t="s">
        <v>955</v>
      </c>
      <c r="C269" s="8">
        <v>0</v>
      </c>
      <c r="D269" s="8">
        <v>310</v>
      </c>
      <c r="E269" s="8" t="s">
        <v>950</v>
      </c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12"/>
      <c r="AW269" s="12"/>
      <c r="AX269" s="12"/>
      <c r="AY269" s="12"/>
      <c r="AZ269" s="12"/>
      <c r="BA269" s="12"/>
      <c r="BB269" s="12"/>
      <c r="BC269" s="12"/>
      <c r="BD269" s="12"/>
      <c r="BE269" s="12"/>
      <c r="BF269" s="12"/>
      <c r="BG269" s="12"/>
      <c r="BH269" s="12"/>
      <c r="BI269" s="12"/>
      <c r="BJ269" s="12"/>
      <c r="BK269" s="12"/>
      <c r="BL269" s="12"/>
      <c r="BM269" s="12"/>
      <c r="BN269" s="12"/>
      <c r="BO269" s="12"/>
      <c r="BP269" s="12"/>
      <c r="BQ269" s="12"/>
      <c r="BR269" s="12"/>
      <c r="BS269" s="12"/>
      <c r="BT269" s="12"/>
      <c r="BU269" s="12"/>
      <c r="BV269" s="12"/>
      <c r="BW269" s="12"/>
      <c r="BX269" s="12"/>
      <c r="BY269" s="12"/>
      <c r="BZ269" s="12"/>
      <c r="CA269" s="12"/>
    </row>
    <row r="270" spans="1:79" x14ac:dyDescent="0.3">
      <c r="A270" s="8">
        <v>3</v>
      </c>
      <c r="B270" s="8" t="s">
        <v>955</v>
      </c>
      <c r="C270" s="8">
        <v>0</v>
      </c>
      <c r="D270" s="8">
        <v>311</v>
      </c>
      <c r="E270" s="8" t="s">
        <v>950</v>
      </c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12"/>
      <c r="AW270" s="12"/>
      <c r="AX270" s="12"/>
      <c r="AY270" s="12"/>
      <c r="AZ270" s="12"/>
      <c r="BA270" s="12"/>
      <c r="BB270" s="12"/>
      <c r="BC270" s="12"/>
      <c r="BD270" s="12"/>
      <c r="BE270" s="12"/>
      <c r="BF270" s="12"/>
      <c r="BG270" s="12"/>
      <c r="BH270" s="12"/>
      <c r="BI270" s="12"/>
      <c r="BJ270" s="12"/>
      <c r="BK270" s="12"/>
      <c r="BL270" s="12"/>
      <c r="BM270" s="12"/>
      <c r="BN270" s="12"/>
      <c r="BO270" s="12"/>
      <c r="BP270" s="12"/>
      <c r="BQ270" s="12"/>
      <c r="BR270" s="12"/>
      <c r="BS270" s="12"/>
      <c r="BT270" s="12"/>
      <c r="BU270" s="12"/>
      <c r="BV270" s="12"/>
      <c r="BW270" s="12"/>
      <c r="BX270" s="12"/>
      <c r="BY270" s="12"/>
      <c r="BZ270" s="12"/>
      <c r="CA270" s="12"/>
    </row>
    <row r="271" spans="1:79" x14ac:dyDescent="0.3">
      <c r="A271" s="8">
        <v>3</v>
      </c>
      <c r="B271" s="8" t="s">
        <v>955</v>
      </c>
      <c r="C271" s="8">
        <v>0</v>
      </c>
      <c r="D271" s="8">
        <v>312</v>
      </c>
      <c r="E271" s="8" t="s">
        <v>951</v>
      </c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12"/>
      <c r="AW271" s="12"/>
      <c r="AX271" s="12"/>
      <c r="AY271" s="12"/>
      <c r="AZ271" s="12"/>
      <c r="BA271" s="12"/>
      <c r="BB271" s="12"/>
      <c r="BC271" s="12"/>
      <c r="BD271" s="12"/>
      <c r="BE271" s="12"/>
      <c r="BF271" s="12"/>
      <c r="BG271" s="12"/>
      <c r="BH271" s="12"/>
      <c r="BI271" s="12"/>
      <c r="BJ271" s="12"/>
      <c r="BK271" s="12"/>
      <c r="BL271" s="12"/>
      <c r="BM271" s="12"/>
      <c r="BN271" s="12"/>
      <c r="BO271" s="12"/>
      <c r="BP271" s="12"/>
      <c r="BQ271" s="12"/>
      <c r="BR271" s="12"/>
      <c r="BS271" s="12"/>
      <c r="BT271" s="12"/>
      <c r="BU271" s="12"/>
      <c r="BV271" s="12"/>
      <c r="BW271" s="12"/>
      <c r="BX271" s="12"/>
      <c r="BY271" s="12"/>
      <c r="BZ271" s="12"/>
      <c r="CA271" s="12"/>
    </row>
    <row r="272" spans="1:79" x14ac:dyDescent="0.3">
      <c r="A272" s="8">
        <v>3</v>
      </c>
      <c r="B272" s="8" t="s">
        <v>955</v>
      </c>
      <c r="C272" s="8">
        <v>0</v>
      </c>
      <c r="D272" s="8">
        <v>313</v>
      </c>
      <c r="E272" s="8" t="s">
        <v>950</v>
      </c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12"/>
      <c r="AW272" s="12"/>
      <c r="AX272" s="12"/>
      <c r="AY272" s="12"/>
      <c r="AZ272" s="12"/>
      <c r="BA272" s="12"/>
      <c r="BB272" s="12"/>
      <c r="BC272" s="12"/>
      <c r="BD272" s="12"/>
      <c r="BE272" s="12"/>
      <c r="BF272" s="12"/>
      <c r="BG272" s="12"/>
      <c r="BH272" s="12"/>
      <c r="BI272" s="12"/>
      <c r="BJ272" s="12"/>
      <c r="BK272" s="12"/>
      <c r="BL272" s="12"/>
      <c r="BM272" s="12"/>
      <c r="BN272" s="12"/>
      <c r="BO272" s="12"/>
      <c r="BP272" s="12"/>
      <c r="BQ272" s="12"/>
      <c r="BR272" s="12"/>
      <c r="BS272" s="12"/>
      <c r="BT272" s="12"/>
      <c r="BU272" s="12"/>
      <c r="BV272" s="12"/>
      <c r="BW272" s="12"/>
      <c r="BX272" s="12"/>
      <c r="BY272" s="12"/>
      <c r="BZ272" s="12"/>
      <c r="CA272" s="12"/>
    </row>
    <row r="273" spans="1:79" x14ac:dyDescent="0.3">
      <c r="A273" s="8">
        <v>1</v>
      </c>
      <c r="B273" s="8" t="s">
        <v>955</v>
      </c>
      <c r="C273" s="8">
        <v>0</v>
      </c>
      <c r="D273" s="8">
        <v>314</v>
      </c>
      <c r="E273" s="8" t="s">
        <v>950</v>
      </c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12"/>
      <c r="AW273" s="12"/>
      <c r="AX273" s="12"/>
      <c r="AY273" s="12"/>
      <c r="AZ273" s="12"/>
      <c r="BA273" s="12"/>
      <c r="BB273" s="12"/>
      <c r="BC273" s="12"/>
      <c r="BD273" s="12"/>
      <c r="BE273" s="12"/>
      <c r="BF273" s="12"/>
      <c r="BG273" s="12"/>
      <c r="BH273" s="12"/>
      <c r="BI273" s="12"/>
      <c r="BJ273" s="12"/>
      <c r="BK273" s="12"/>
      <c r="BL273" s="12"/>
      <c r="BM273" s="12"/>
      <c r="BN273" s="12"/>
      <c r="BO273" s="12"/>
      <c r="BP273" s="12"/>
      <c r="BQ273" s="12"/>
      <c r="BR273" s="12"/>
      <c r="BS273" s="12"/>
      <c r="BT273" s="12"/>
      <c r="BU273" s="12"/>
      <c r="BV273" s="12"/>
      <c r="BW273" s="12"/>
      <c r="BX273" s="12"/>
      <c r="BY273" s="12"/>
      <c r="BZ273" s="12"/>
      <c r="CA273" s="12"/>
    </row>
    <row r="274" spans="1:79" x14ac:dyDescent="0.3">
      <c r="A274" s="8">
        <v>1</v>
      </c>
      <c r="B274" s="8" t="s">
        <v>955</v>
      </c>
      <c r="C274" s="8">
        <v>0</v>
      </c>
      <c r="D274" s="8">
        <v>315</v>
      </c>
      <c r="E274" s="8" t="s">
        <v>951</v>
      </c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  <c r="BW274" s="12"/>
      <c r="BX274" s="12"/>
      <c r="BY274" s="12"/>
      <c r="BZ274" s="12"/>
      <c r="CA274" s="12"/>
    </row>
    <row r="275" spans="1:79" x14ac:dyDescent="0.3">
      <c r="A275" s="8">
        <v>1</v>
      </c>
      <c r="B275" s="8" t="s">
        <v>956</v>
      </c>
      <c r="C275" s="8">
        <v>5</v>
      </c>
      <c r="D275" s="8">
        <v>316</v>
      </c>
      <c r="E275" s="8" t="s">
        <v>950</v>
      </c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12"/>
      <c r="AW275" s="12"/>
      <c r="AX275" s="12"/>
      <c r="AY275" s="12"/>
      <c r="AZ275" s="12"/>
      <c r="BA275" s="12"/>
      <c r="BB275" s="12"/>
      <c r="BC275" s="12"/>
      <c r="BD275" s="12"/>
      <c r="BE275" s="12"/>
      <c r="BF275" s="12"/>
      <c r="BG275" s="12"/>
      <c r="BH275" s="12"/>
      <c r="BI275" s="12"/>
      <c r="BJ275" s="12"/>
      <c r="BK275" s="12"/>
      <c r="BL275" s="12"/>
      <c r="BM275" s="12"/>
      <c r="BN275" s="12"/>
      <c r="BO275" s="12"/>
      <c r="BP275" s="12"/>
      <c r="BQ275" s="12"/>
      <c r="BR275" s="12"/>
      <c r="BS275" s="12"/>
      <c r="BT275" s="12"/>
      <c r="BU275" s="12"/>
      <c r="BV275" s="12"/>
      <c r="BW275" s="12"/>
      <c r="BX275" s="12"/>
      <c r="BY275" s="12"/>
      <c r="BZ275" s="12"/>
      <c r="CA275" s="12"/>
    </row>
    <row r="276" spans="1:79" x14ac:dyDescent="0.3">
      <c r="A276" s="8">
        <v>1</v>
      </c>
      <c r="B276" s="8" t="s">
        <v>956</v>
      </c>
      <c r="C276" s="8">
        <v>5</v>
      </c>
      <c r="D276" s="8">
        <v>317</v>
      </c>
      <c r="E276" s="8" t="s">
        <v>951</v>
      </c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12"/>
      <c r="AW276" s="12"/>
      <c r="AX276" s="12"/>
      <c r="AY276" s="12"/>
      <c r="AZ276" s="12"/>
      <c r="BA276" s="12"/>
      <c r="BB276" s="12"/>
      <c r="BC276" s="12"/>
      <c r="BD276" s="12"/>
      <c r="BE276" s="12"/>
      <c r="BF276" s="12"/>
      <c r="BG276" s="12"/>
      <c r="BH276" s="12"/>
      <c r="BI276" s="12"/>
      <c r="BJ276" s="12"/>
      <c r="BK276" s="12"/>
      <c r="BL276" s="12"/>
      <c r="BM276" s="12"/>
      <c r="BN276" s="12"/>
      <c r="BO276" s="12"/>
      <c r="BP276" s="12"/>
      <c r="BQ276" s="12"/>
      <c r="BR276" s="12"/>
      <c r="BS276" s="12"/>
      <c r="BT276" s="12"/>
      <c r="BU276" s="12"/>
      <c r="BV276" s="12"/>
      <c r="BW276" s="12"/>
      <c r="BX276" s="12"/>
      <c r="BY276" s="12"/>
      <c r="BZ276" s="12"/>
      <c r="CA276" s="12"/>
    </row>
    <row r="277" spans="1:79" x14ac:dyDescent="0.3">
      <c r="A277" s="8">
        <v>1</v>
      </c>
      <c r="B277" s="8" t="s">
        <v>956</v>
      </c>
      <c r="C277" s="8">
        <v>5</v>
      </c>
      <c r="D277" s="8">
        <v>318</v>
      </c>
      <c r="E277" s="8" t="s">
        <v>951</v>
      </c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12"/>
      <c r="AW277" s="12"/>
      <c r="AX277" s="12"/>
      <c r="AY277" s="12"/>
      <c r="AZ277" s="12"/>
      <c r="BA277" s="12"/>
      <c r="BB277" s="12"/>
      <c r="BC277" s="12"/>
      <c r="BD277" s="12"/>
      <c r="BE277" s="12"/>
      <c r="BF277" s="12"/>
      <c r="BG277" s="12"/>
      <c r="BH277" s="12"/>
      <c r="BI277" s="12"/>
      <c r="BJ277" s="12"/>
      <c r="BK277" s="12"/>
      <c r="BL277" s="12"/>
      <c r="BM277" s="12"/>
      <c r="BN277" s="12"/>
      <c r="BO277" s="12"/>
      <c r="BP277" s="12"/>
      <c r="BQ277" s="12"/>
      <c r="BR277" s="12"/>
      <c r="BS277" s="12"/>
      <c r="BT277" s="12"/>
      <c r="BU277" s="12"/>
      <c r="BV277" s="12"/>
      <c r="BW277" s="12"/>
      <c r="BX277" s="12"/>
      <c r="BY277" s="12"/>
      <c r="BZ277" s="12"/>
      <c r="CA277" s="12"/>
    </row>
    <row r="278" spans="1:79" x14ac:dyDescent="0.3">
      <c r="A278" s="8">
        <v>1</v>
      </c>
      <c r="B278" s="8" t="s">
        <v>956</v>
      </c>
      <c r="C278" s="8">
        <v>5</v>
      </c>
      <c r="D278" s="8">
        <v>319</v>
      </c>
      <c r="E278" s="8" t="s">
        <v>950</v>
      </c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12"/>
      <c r="AW278" s="12"/>
      <c r="AX278" s="12"/>
      <c r="AY278" s="12"/>
      <c r="AZ278" s="12"/>
      <c r="BA278" s="12"/>
      <c r="BB278" s="12"/>
      <c r="BC278" s="12"/>
      <c r="BD278" s="12"/>
      <c r="BE278" s="12"/>
      <c r="BF278" s="12"/>
      <c r="BG278" s="12"/>
      <c r="BH278" s="12"/>
      <c r="BI278" s="12"/>
      <c r="BJ278" s="12"/>
      <c r="BK278" s="12"/>
      <c r="BL278" s="12"/>
      <c r="BM278" s="12"/>
      <c r="BN278" s="12"/>
      <c r="BO278" s="12"/>
      <c r="BP278" s="12"/>
      <c r="BQ278" s="12"/>
      <c r="BR278" s="12"/>
      <c r="BS278" s="12"/>
      <c r="BT278" s="12"/>
      <c r="BU278" s="12"/>
      <c r="BV278" s="12"/>
      <c r="BW278" s="12"/>
      <c r="BX278" s="12"/>
      <c r="BY278" s="12"/>
      <c r="BZ278" s="12"/>
      <c r="CA278" s="12"/>
    </row>
    <row r="279" spans="1:79" x14ac:dyDescent="0.3">
      <c r="A279" s="8">
        <v>1</v>
      </c>
      <c r="B279" s="8" t="s">
        <v>956</v>
      </c>
      <c r="C279" s="8">
        <v>5</v>
      </c>
      <c r="D279" s="8">
        <v>320</v>
      </c>
      <c r="E279" s="8" t="s">
        <v>950</v>
      </c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12"/>
      <c r="AW279" s="12"/>
      <c r="AX279" s="12"/>
      <c r="AY279" s="12"/>
      <c r="AZ279" s="12"/>
      <c r="BA279" s="12"/>
      <c r="BB279" s="12"/>
      <c r="BC279" s="12"/>
      <c r="BD279" s="12"/>
      <c r="BE279" s="12"/>
      <c r="BF279" s="12"/>
      <c r="BG279" s="12"/>
      <c r="BH279" s="12"/>
      <c r="BI279" s="12"/>
      <c r="BJ279" s="12"/>
      <c r="BK279" s="12"/>
      <c r="BL279" s="12"/>
      <c r="BM279" s="12"/>
      <c r="BN279" s="12"/>
      <c r="BO279" s="12"/>
      <c r="BP279" s="12"/>
      <c r="BQ279" s="12"/>
      <c r="BR279" s="12"/>
      <c r="BS279" s="12"/>
      <c r="BT279" s="12"/>
      <c r="BU279" s="12"/>
      <c r="BV279" s="12"/>
      <c r="BW279" s="12"/>
      <c r="BX279" s="12"/>
      <c r="BY279" s="12"/>
      <c r="BZ279" s="12"/>
      <c r="CA279" s="12"/>
    </row>
    <row r="280" spans="1:79" x14ac:dyDescent="0.3">
      <c r="A280" s="8">
        <v>1</v>
      </c>
      <c r="B280" s="8" t="s">
        <v>956</v>
      </c>
      <c r="C280" s="8">
        <v>5</v>
      </c>
      <c r="D280" s="8">
        <v>321</v>
      </c>
      <c r="E280" s="8" t="s">
        <v>951</v>
      </c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12"/>
      <c r="AW280" s="12"/>
      <c r="AX280" s="12"/>
      <c r="AY280" s="12"/>
      <c r="AZ280" s="12"/>
      <c r="BA280" s="12"/>
      <c r="BB280" s="12"/>
      <c r="BC280" s="12"/>
      <c r="BD280" s="12"/>
      <c r="BE280" s="12"/>
      <c r="BF280" s="12"/>
      <c r="BG280" s="12"/>
      <c r="BH280" s="12"/>
      <c r="BI280" s="12"/>
      <c r="BJ280" s="12"/>
      <c r="BK280" s="12"/>
      <c r="BL280" s="12"/>
      <c r="BM280" s="12"/>
      <c r="BN280" s="12"/>
      <c r="BO280" s="12"/>
      <c r="BP280" s="12"/>
      <c r="BQ280" s="12"/>
      <c r="BR280" s="12"/>
      <c r="BS280" s="12"/>
      <c r="BT280" s="12"/>
      <c r="BU280" s="12"/>
      <c r="BV280" s="12"/>
      <c r="BW280" s="12"/>
      <c r="BX280" s="12"/>
      <c r="BY280" s="12"/>
      <c r="BZ280" s="12"/>
      <c r="CA280" s="12"/>
    </row>
    <row r="281" spans="1:79" x14ac:dyDescent="0.3">
      <c r="A281" s="8">
        <v>1</v>
      </c>
      <c r="B281" s="8" t="s">
        <v>956</v>
      </c>
      <c r="C281" s="8">
        <v>5</v>
      </c>
      <c r="D281" s="8">
        <v>322</v>
      </c>
      <c r="E281" s="8" t="s">
        <v>950</v>
      </c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12"/>
      <c r="AW281" s="12"/>
      <c r="AX281" s="12"/>
      <c r="AY281" s="12"/>
      <c r="AZ281" s="12"/>
      <c r="BA281" s="12"/>
      <c r="BB281" s="12"/>
      <c r="BC281" s="12"/>
      <c r="BD281" s="12"/>
      <c r="BE281" s="12"/>
      <c r="BF281" s="12"/>
      <c r="BG281" s="12"/>
      <c r="BH281" s="12"/>
      <c r="BI281" s="12"/>
      <c r="BJ281" s="12"/>
      <c r="BK281" s="12"/>
      <c r="BL281" s="12"/>
      <c r="BM281" s="12"/>
      <c r="BN281" s="12"/>
      <c r="BO281" s="12"/>
      <c r="BP281" s="12"/>
      <c r="BQ281" s="12"/>
      <c r="BR281" s="12"/>
      <c r="BS281" s="12"/>
      <c r="BT281" s="12"/>
      <c r="BU281" s="12"/>
      <c r="BV281" s="12"/>
      <c r="BW281" s="12"/>
      <c r="BX281" s="12"/>
      <c r="BY281" s="12"/>
      <c r="BZ281" s="12"/>
      <c r="CA281" s="12"/>
    </row>
    <row r="282" spans="1:79" x14ac:dyDescent="0.3">
      <c r="A282" s="8">
        <v>1</v>
      </c>
      <c r="B282" s="8" t="s">
        <v>956</v>
      </c>
      <c r="C282" s="8">
        <v>5</v>
      </c>
      <c r="D282" s="8">
        <v>323</v>
      </c>
      <c r="E282" s="8" t="s">
        <v>950</v>
      </c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12"/>
      <c r="AW282" s="12"/>
      <c r="AX282" s="12"/>
      <c r="AY282" s="12"/>
      <c r="AZ282" s="12"/>
      <c r="BA282" s="12"/>
      <c r="BB282" s="12"/>
      <c r="BC282" s="12"/>
      <c r="BD282" s="12"/>
      <c r="BE282" s="12"/>
      <c r="BF282" s="12"/>
      <c r="BG282" s="12"/>
      <c r="BH282" s="12"/>
      <c r="BI282" s="12"/>
      <c r="BJ282" s="12"/>
      <c r="BK282" s="12"/>
      <c r="BL282" s="12"/>
      <c r="BM282" s="12"/>
      <c r="BN282" s="12"/>
      <c r="BO282" s="12"/>
      <c r="BP282" s="12"/>
      <c r="BQ282" s="12"/>
      <c r="BR282" s="12"/>
      <c r="BS282" s="12"/>
      <c r="BT282" s="12"/>
      <c r="BU282" s="12"/>
      <c r="BV282" s="12"/>
      <c r="BW282" s="12"/>
      <c r="BX282" s="12"/>
      <c r="BY282" s="12"/>
      <c r="BZ282" s="12"/>
      <c r="CA282" s="12"/>
    </row>
    <row r="283" spans="1:79" x14ac:dyDescent="0.3">
      <c r="A283" s="8">
        <v>1</v>
      </c>
      <c r="B283" s="8" t="s">
        <v>956</v>
      </c>
      <c r="C283" s="8">
        <v>5</v>
      </c>
      <c r="D283" s="8">
        <v>324</v>
      </c>
      <c r="E283" s="8" t="s">
        <v>950</v>
      </c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12"/>
      <c r="AW283" s="12"/>
      <c r="AX283" s="12"/>
      <c r="AY283" s="12"/>
      <c r="AZ283" s="12"/>
      <c r="BA283" s="12"/>
      <c r="BB283" s="12"/>
      <c r="BC283" s="12"/>
      <c r="BD283" s="12"/>
      <c r="BE283" s="12"/>
      <c r="BF283" s="12"/>
      <c r="BG283" s="12"/>
      <c r="BH283" s="12"/>
      <c r="BI283" s="12"/>
      <c r="BJ283" s="12"/>
      <c r="BK283" s="12"/>
      <c r="BL283" s="12"/>
      <c r="BM283" s="12"/>
      <c r="BN283" s="12"/>
      <c r="BO283" s="12"/>
      <c r="BP283" s="12"/>
      <c r="BQ283" s="12"/>
      <c r="BR283" s="12"/>
      <c r="BS283" s="12"/>
      <c r="BT283" s="12"/>
      <c r="BU283" s="12"/>
      <c r="BV283" s="12"/>
      <c r="BW283" s="12"/>
      <c r="BX283" s="12"/>
      <c r="BY283" s="12"/>
      <c r="BZ283" s="12"/>
      <c r="CA283" s="12"/>
    </row>
    <row r="284" spans="1:79" x14ac:dyDescent="0.3">
      <c r="A284" s="8">
        <v>1</v>
      </c>
      <c r="B284" s="8" t="s">
        <v>956</v>
      </c>
      <c r="C284" s="8">
        <v>5</v>
      </c>
      <c r="D284" s="8">
        <v>325</v>
      </c>
      <c r="E284" s="8" t="s">
        <v>951</v>
      </c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12"/>
      <c r="AW284" s="12"/>
      <c r="AX284" s="12"/>
      <c r="AY284" s="12"/>
      <c r="AZ284" s="12"/>
      <c r="BA284" s="12"/>
      <c r="BB284" s="12"/>
      <c r="BC284" s="12"/>
      <c r="BD284" s="12"/>
      <c r="BE284" s="12"/>
      <c r="BF284" s="12"/>
      <c r="BG284" s="12"/>
      <c r="BH284" s="12"/>
      <c r="BI284" s="12"/>
      <c r="BJ284" s="12"/>
      <c r="BK284" s="12"/>
      <c r="BL284" s="12"/>
      <c r="BM284" s="12"/>
      <c r="BN284" s="12"/>
      <c r="BO284" s="12"/>
      <c r="BP284" s="12"/>
      <c r="BQ284" s="12"/>
      <c r="BR284" s="12"/>
      <c r="BS284" s="12"/>
      <c r="BT284" s="12"/>
      <c r="BU284" s="12"/>
      <c r="BV284" s="12"/>
      <c r="BW284" s="12"/>
      <c r="BX284" s="12"/>
      <c r="BY284" s="12"/>
      <c r="BZ284" s="12"/>
      <c r="CA284" s="12"/>
    </row>
    <row r="285" spans="1:79" x14ac:dyDescent="0.3">
      <c r="A285" s="8">
        <v>1</v>
      </c>
      <c r="B285" s="8" t="s">
        <v>956</v>
      </c>
      <c r="C285" s="8">
        <v>5</v>
      </c>
      <c r="D285" s="8">
        <v>326</v>
      </c>
      <c r="E285" s="8" t="s">
        <v>951</v>
      </c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12"/>
      <c r="AW285" s="12"/>
      <c r="AX285" s="12"/>
      <c r="AY285" s="12"/>
      <c r="AZ285" s="12"/>
      <c r="BA285" s="12"/>
      <c r="BB285" s="12"/>
      <c r="BC285" s="12"/>
      <c r="BD285" s="12"/>
      <c r="BE285" s="12"/>
      <c r="BF285" s="12"/>
      <c r="BG285" s="12"/>
      <c r="BH285" s="12"/>
      <c r="BI285" s="12"/>
      <c r="BJ285" s="12"/>
      <c r="BK285" s="12"/>
      <c r="BL285" s="12"/>
      <c r="BM285" s="12"/>
      <c r="BN285" s="12"/>
      <c r="BO285" s="12"/>
      <c r="BP285" s="12"/>
      <c r="BQ285" s="12"/>
      <c r="BR285" s="12"/>
      <c r="BS285" s="12"/>
      <c r="BT285" s="12"/>
      <c r="BU285" s="12"/>
      <c r="BV285" s="12"/>
      <c r="BW285" s="12"/>
      <c r="BX285" s="12"/>
      <c r="BY285" s="12"/>
      <c r="BZ285" s="12"/>
      <c r="CA285" s="12"/>
    </row>
    <row r="286" spans="1:79" x14ac:dyDescent="0.3">
      <c r="A286" s="8">
        <v>1</v>
      </c>
      <c r="B286" s="8" t="s">
        <v>956</v>
      </c>
      <c r="C286" s="8">
        <v>5</v>
      </c>
      <c r="D286" s="8">
        <v>327</v>
      </c>
      <c r="E286" s="8" t="s">
        <v>951</v>
      </c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12"/>
      <c r="AW286" s="12"/>
      <c r="AX286" s="12"/>
      <c r="AY286" s="12"/>
      <c r="AZ286" s="12"/>
      <c r="BA286" s="12"/>
      <c r="BB286" s="12"/>
      <c r="BC286" s="12"/>
      <c r="BD286" s="12"/>
      <c r="BE286" s="12"/>
      <c r="BF286" s="12"/>
      <c r="BG286" s="12"/>
      <c r="BH286" s="12"/>
      <c r="BI286" s="12"/>
      <c r="BJ286" s="12"/>
      <c r="BK286" s="12"/>
      <c r="BL286" s="12"/>
      <c r="BM286" s="12"/>
      <c r="BN286" s="12"/>
      <c r="BO286" s="12"/>
      <c r="BP286" s="12"/>
      <c r="BQ286" s="12"/>
      <c r="BR286" s="12"/>
      <c r="BS286" s="12"/>
      <c r="BT286" s="12"/>
      <c r="BU286" s="12"/>
      <c r="BV286" s="12"/>
      <c r="BW286" s="12"/>
      <c r="BX286" s="12"/>
      <c r="BY286" s="12"/>
      <c r="BZ286" s="12"/>
      <c r="CA286" s="12"/>
    </row>
    <row r="287" spans="1:79" x14ac:dyDescent="0.3">
      <c r="A287" s="8">
        <v>1</v>
      </c>
      <c r="B287" s="8" t="s">
        <v>956</v>
      </c>
      <c r="C287" s="8">
        <v>5</v>
      </c>
      <c r="D287" s="8">
        <v>328</v>
      </c>
      <c r="E287" s="8" t="s">
        <v>950</v>
      </c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12"/>
      <c r="AW287" s="12"/>
      <c r="AX287" s="12"/>
      <c r="AY287" s="12"/>
      <c r="AZ287" s="12"/>
      <c r="BA287" s="12"/>
      <c r="BB287" s="12"/>
      <c r="BC287" s="12"/>
      <c r="BD287" s="12"/>
      <c r="BE287" s="12"/>
      <c r="BF287" s="12"/>
      <c r="BG287" s="12"/>
      <c r="BH287" s="12"/>
      <c r="BI287" s="12"/>
      <c r="BJ287" s="12"/>
      <c r="BK287" s="12"/>
      <c r="BL287" s="12"/>
      <c r="BM287" s="12"/>
      <c r="BN287" s="12"/>
      <c r="BO287" s="12"/>
      <c r="BP287" s="12"/>
      <c r="BQ287" s="12"/>
      <c r="BR287" s="12"/>
      <c r="BS287" s="12"/>
      <c r="BT287" s="12"/>
      <c r="BU287" s="12"/>
      <c r="BV287" s="12"/>
      <c r="BW287" s="12"/>
      <c r="BX287" s="12"/>
      <c r="BY287" s="12"/>
      <c r="BZ287" s="12"/>
      <c r="CA287" s="12"/>
    </row>
    <row r="288" spans="1:79" x14ac:dyDescent="0.3">
      <c r="A288" s="8">
        <v>1</v>
      </c>
      <c r="B288" s="8" t="s">
        <v>956</v>
      </c>
      <c r="C288" s="8">
        <v>5</v>
      </c>
      <c r="D288" s="8">
        <v>329</v>
      </c>
      <c r="E288" s="8" t="s">
        <v>951</v>
      </c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12"/>
      <c r="AW288" s="12"/>
      <c r="AX288" s="12"/>
      <c r="AY288" s="12"/>
      <c r="AZ288" s="12"/>
      <c r="BA288" s="12"/>
      <c r="BB288" s="12"/>
      <c r="BC288" s="12"/>
      <c r="BD288" s="12"/>
      <c r="BE288" s="12"/>
      <c r="BF288" s="12"/>
      <c r="BG288" s="12"/>
      <c r="BH288" s="12"/>
      <c r="BI288" s="12"/>
      <c r="BJ288" s="12"/>
      <c r="BK288" s="12"/>
      <c r="BL288" s="12"/>
      <c r="BM288" s="12"/>
      <c r="BN288" s="12"/>
      <c r="BO288" s="12"/>
      <c r="BP288" s="12"/>
      <c r="BQ288" s="12"/>
      <c r="BR288" s="12"/>
      <c r="BS288" s="12"/>
      <c r="BT288" s="12"/>
      <c r="BU288" s="12"/>
      <c r="BV288" s="12"/>
      <c r="BW288" s="12"/>
      <c r="BX288" s="12"/>
      <c r="BY288" s="12"/>
      <c r="BZ288" s="12"/>
      <c r="CA288" s="12"/>
    </row>
    <row r="289" spans="1:79" x14ac:dyDescent="0.3">
      <c r="A289" s="8">
        <v>1</v>
      </c>
      <c r="B289" s="8" t="s">
        <v>956</v>
      </c>
      <c r="C289" s="8">
        <v>5</v>
      </c>
      <c r="D289" s="8">
        <v>330</v>
      </c>
      <c r="E289" s="8" t="s">
        <v>950</v>
      </c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12"/>
      <c r="AW289" s="12"/>
      <c r="AX289" s="12"/>
      <c r="AY289" s="12"/>
      <c r="AZ289" s="12"/>
      <c r="BA289" s="12"/>
      <c r="BB289" s="12"/>
      <c r="BC289" s="12"/>
      <c r="BD289" s="12"/>
      <c r="BE289" s="12"/>
      <c r="BF289" s="12"/>
      <c r="BG289" s="12"/>
      <c r="BH289" s="12"/>
      <c r="BI289" s="12"/>
      <c r="BJ289" s="12"/>
      <c r="BK289" s="12"/>
      <c r="BL289" s="12"/>
      <c r="BM289" s="12"/>
      <c r="BN289" s="12"/>
      <c r="BO289" s="12"/>
      <c r="BP289" s="12"/>
      <c r="BQ289" s="12"/>
      <c r="BR289" s="12"/>
      <c r="BS289" s="12"/>
      <c r="BT289" s="12"/>
      <c r="BU289" s="12"/>
      <c r="BV289" s="12"/>
      <c r="BW289" s="12"/>
      <c r="BX289" s="12"/>
      <c r="BY289" s="12"/>
      <c r="BZ289" s="12"/>
      <c r="CA289" s="12"/>
    </row>
    <row r="290" spans="1:79" x14ac:dyDescent="0.3">
      <c r="A290" s="8">
        <v>1</v>
      </c>
      <c r="B290" s="8" t="s">
        <v>956</v>
      </c>
      <c r="C290" s="8">
        <v>5</v>
      </c>
      <c r="D290" s="8">
        <v>331</v>
      </c>
      <c r="E290" s="8" t="s">
        <v>950</v>
      </c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12"/>
      <c r="AW290" s="12"/>
      <c r="AX290" s="12"/>
      <c r="AY290" s="12"/>
      <c r="AZ290" s="12"/>
      <c r="BA290" s="12"/>
      <c r="BB290" s="12"/>
      <c r="BC290" s="12"/>
      <c r="BD290" s="12"/>
      <c r="BE290" s="12"/>
      <c r="BF290" s="12"/>
      <c r="BG290" s="12"/>
      <c r="BH290" s="12"/>
      <c r="BI290" s="12"/>
      <c r="BJ290" s="12"/>
      <c r="BK290" s="12"/>
      <c r="BL290" s="12"/>
      <c r="BM290" s="12"/>
      <c r="BN290" s="12"/>
      <c r="BO290" s="12"/>
      <c r="BP290" s="12"/>
      <c r="BQ290" s="12"/>
      <c r="BR290" s="12"/>
      <c r="BS290" s="12"/>
      <c r="BT290" s="12"/>
      <c r="BU290" s="12"/>
      <c r="BV290" s="12"/>
      <c r="BW290" s="12"/>
      <c r="BX290" s="12"/>
      <c r="BY290" s="12"/>
      <c r="BZ290" s="12"/>
      <c r="CA290" s="12"/>
    </row>
    <row r="291" spans="1:79" x14ac:dyDescent="0.3">
      <c r="A291" s="8">
        <v>1</v>
      </c>
      <c r="B291" s="8" t="s">
        <v>956</v>
      </c>
      <c r="C291" s="8">
        <v>5</v>
      </c>
      <c r="D291" s="8">
        <v>332</v>
      </c>
      <c r="E291" s="8" t="s">
        <v>950</v>
      </c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12"/>
      <c r="AW291" s="12"/>
      <c r="AX291" s="12"/>
      <c r="AY291" s="12"/>
      <c r="AZ291" s="12"/>
      <c r="BA291" s="12"/>
      <c r="BB291" s="12"/>
      <c r="BC291" s="12"/>
      <c r="BD291" s="12"/>
      <c r="BE291" s="12"/>
      <c r="BF291" s="12"/>
      <c r="BG291" s="12"/>
      <c r="BH291" s="12"/>
      <c r="BI291" s="12"/>
      <c r="BJ291" s="12"/>
      <c r="BK291" s="12"/>
      <c r="BL291" s="12"/>
      <c r="BM291" s="12"/>
      <c r="BN291" s="12"/>
      <c r="BO291" s="12"/>
      <c r="BP291" s="12"/>
      <c r="BQ291" s="12"/>
      <c r="BR291" s="12"/>
      <c r="BS291" s="12"/>
      <c r="BT291" s="12"/>
      <c r="BU291" s="12"/>
      <c r="BV291" s="12"/>
      <c r="BW291" s="12"/>
      <c r="BX291" s="12"/>
      <c r="BY291" s="12"/>
      <c r="BZ291" s="12"/>
      <c r="CA291" s="12"/>
    </row>
    <row r="292" spans="1:79" x14ac:dyDescent="0.3">
      <c r="A292" s="8">
        <v>1</v>
      </c>
      <c r="B292" s="8" t="s">
        <v>956</v>
      </c>
      <c r="C292" s="8">
        <v>5</v>
      </c>
      <c r="D292" s="8">
        <v>333</v>
      </c>
      <c r="E292" s="8" t="s">
        <v>950</v>
      </c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12"/>
      <c r="AW292" s="12"/>
      <c r="AX292" s="12"/>
      <c r="AY292" s="12"/>
      <c r="AZ292" s="12"/>
      <c r="BA292" s="12"/>
      <c r="BB292" s="12"/>
      <c r="BC292" s="12"/>
      <c r="BD292" s="12"/>
      <c r="BE292" s="12"/>
      <c r="BF292" s="12"/>
      <c r="BG292" s="12"/>
      <c r="BH292" s="12"/>
      <c r="BI292" s="12"/>
      <c r="BJ292" s="12"/>
      <c r="BK292" s="12"/>
      <c r="BL292" s="12"/>
      <c r="BM292" s="12"/>
      <c r="BN292" s="12"/>
      <c r="BO292" s="12"/>
      <c r="BP292" s="12"/>
      <c r="BQ292" s="12"/>
      <c r="BR292" s="12"/>
      <c r="BS292" s="12"/>
      <c r="BT292" s="12"/>
      <c r="BU292" s="12"/>
      <c r="BV292" s="12"/>
      <c r="BW292" s="12"/>
      <c r="BX292" s="12"/>
      <c r="BY292" s="12"/>
      <c r="BZ292" s="12"/>
      <c r="CA292" s="12"/>
    </row>
    <row r="293" spans="1:79" x14ac:dyDescent="0.3">
      <c r="A293" s="8">
        <v>1</v>
      </c>
      <c r="B293" s="8" t="s">
        <v>956</v>
      </c>
      <c r="C293" s="8">
        <v>5</v>
      </c>
      <c r="D293" s="8">
        <v>334</v>
      </c>
      <c r="E293" s="8" t="s">
        <v>950</v>
      </c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12"/>
      <c r="AW293" s="12"/>
      <c r="AX293" s="12"/>
      <c r="AY293" s="12"/>
      <c r="AZ293" s="12"/>
      <c r="BA293" s="12"/>
      <c r="BB293" s="12"/>
      <c r="BC293" s="12"/>
      <c r="BD293" s="12"/>
      <c r="BE293" s="12"/>
      <c r="BF293" s="12"/>
      <c r="BG293" s="12"/>
      <c r="BH293" s="12"/>
      <c r="BI293" s="12"/>
      <c r="BJ293" s="12"/>
      <c r="BK293" s="12"/>
      <c r="BL293" s="12"/>
      <c r="BM293" s="12"/>
      <c r="BN293" s="12"/>
      <c r="BO293" s="12"/>
      <c r="BP293" s="12"/>
      <c r="BQ293" s="12"/>
      <c r="BR293" s="12"/>
      <c r="BS293" s="12"/>
      <c r="BT293" s="12"/>
      <c r="BU293" s="12"/>
      <c r="BV293" s="12"/>
      <c r="BW293" s="12"/>
      <c r="BX293" s="12"/>
      <c r="BY293" s="12"/>
      <c r="BZ293" s="12"/>
      <c r="CA293" s="12"/>
    </row>
    <row r="294" spans="1:79" x14ac:dyDescent="0.3">
      <c r="A294" s="8">
        <v>2</v>
      </c>
      <c r="B294" s="8" t="s">
        <v>956</v>
      </c>
      <c r="C294" s="8">
        <v>5</v>
      </c>
      <c r="D294" s="8">
        <v>335</v>
      </c>
      <c r="E294" s="8" t="s">
        <v>951</v>
      </c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12"/>
      <c r="AW294" s="12"/>
      <c r="AX294" s="12"/>
      <c r="AY294" s="12"/>
      <c r="AZ294" s="12"/>
      <c r="BA294" s="12"/>
      <c r="BB294" s="12"/>
      <c r="BC294" s="12"/>
      <c r="BD294" s="12"/>
      <c r="BE294" s="12"/>
      <c r="BF294" s="12"/>
      <c r="BG294" s="12"/>
      <c r="BH294" s="12"/>
      <c r="BI294" s="12"/>
      <c r="BJ294" s="12"/>
      <c r="BK294" s="12"/>
      <c r="BL294" s="12"/>
      <c r="BM294" s="12"/>
      <c r="BN294" s="12"/>
      <c r="BO294" s="12"/>
      <c r="BP294" s="12"/>
      <c r="BQ294" s="12"/>
      <c r="BR294" s="12"/>
      <c r="BS294" s="12"/>
      <c r="BT294" s="12"/>
      <c r="BU294" s="12"/>
      <c r="BV294" s="12"/>
      <c r="BW294" s="12"/>
      <c r="BX294" s="12"/>
      <c r="BY294" s="12"/>
      <c r="BZ294" s="12"/>
      <c r="CA294" s="12"/>
    </row>
    <row r="295" spans="1:79" x14ac:dyDescent="0.3">
      <c r="A295" s="8">
        <v>2</v>
      </c>
      <c r="B295" s="8" t="s">
        <v>956</v>
      </c>
      <c r="C295" s="8">
        <v>5</v>
      </c>
      <c r="D295" s="8">
        <v>336</v>
      </c>
      <c r="E295" s="8" t="s">
        <v>950</v>
      </c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12"/>
      <c r="AW295" s="12"/>
      <c r="AX295" s="12"/>
      <c r="AY295" s="12"/>
      <c r="AZ295" s="12"/>
      <c r="BA295" s="12"/>
      <c r="BB295" s="12"/>
      <c r="BC295" s="12"/>
      <c r="BD295" s="12"/>
      <c r="BE295" s="12"/>
      <c r="BF295" s="12"/>
      <c r="BG295" s="12"/>
      <c r="BH295" s="12"/>
      <c r="BI295" s="12"/>
      <c r="BJ295" s="12"/>
      <c r="BK295" s="12"/>
      <c r="BL295" s="12"/>
      <c r="BM295" s="12"/>
      <c r="BN295" s="12"/>
      <c r="BO295" s="12"/>
      <c r="BP295" s="12"/>
      <c r="BQ295" s="12"/>
      <c r="BR295" s="12"/>
      <c r="BS295" s="12"/>
      <c r="BT295" s="12"/>
      <c r="BU295" s="12"/>
      <c r="BV295" s="12"/>
      <c r="BW295" s="12"/>
      <c r="BX295" s="12"/>
      <c r="BY295" s="12"/>
      <c r="BZ295" s="12"/>
      <c r="CA295" s="12"/>
    </row>
    <row r="296" spans="1:79" x14ac:dyDescent="0.3">
      <c r="A296" s="8">
        <v>2</v>
      </c>
      <c r="B296" s="8" t="s">
        <v>956</v>
      </c>
      <c r="C296" s="8">
        <v>5</v>
      </c>
      <c r="D296" s="8">
        <v>337</v>
      </c>
      <c r="E296" s="8" t="s">
        <v>950</v>
      </c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12"/>
      <c r="AW296" s="12"/>
      <c r="AX296" s="12"/>
      <c r="AY296" s="12"/>
      <c r="AZ296" s="12"/>
      <c r="BA296" s="12"/>
      <c r="BB296" s="12"/>
      <c r="BC296" s="12"/>
      <c r="BD296" s="12"/>
      <c r="BE296" s="12"/>
      <c r="BF296" s="12"/>
      <c r="BG296" s="12"/>
      <c r="BH296" s="12"/>
      <c r="BI296" s="12"/>
      <c r="BJ296" s="12"/>
      <c r="BK296" s="12"/>
      <c r="BL296" s="12"/>
      <c r="BM296" s="12"/>
      <c r="BN296" s="12"/>
      <c r="BO296" s="12"/>
      <c r="BP296" s="12"/>
      <c r="BQ296" s="12"/>
      <c r="BR296" s="12"/>
      <c r="BS296" s="12"/>
      <c r="BT296" s="12"/>
      <c r="BU296" s="12"/>
      <c r="BV296" s="12"/>
      <c r="BW296" s="12"/>
      <c r="BX296" s="12"/>
      <c r="BY296" s="12"/>
      <c r="BZ296" s="12"/>
      <c r="CA296" s="12"/>
    </row>
    <row r="297" spans="1:79" x14ac:dyDescent="0.3">
      <c r="A297" s="8">
        <v>2</v>
      </c>
      <c r="B297" s="8" t="s">
        <v>956</v>
      </c>
      <c r="C297" s="8">
        <v>5</v>
      </c>
      <c r="D297" s="8">
        <v>338</v>
      </c>
      <c r="E297" s="8" t="s">
        <v>951</v>
      </c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12"/>
      <c r="AW297" s="12"/>
      <c r="AX297" s="12"/>
      <c r="AY297" s="12"/>
      <c r="AZ297" s="12"/>
      <c r="BA297" s="12"/>
      <c r="BB297" s="12"/>
      <c r="BC297" s="12"/>
      <c r="BD297" s="12"/>
      <c r="BE297" s="12"/>
      <c r="BF297" s="12"/>
      <c r="BG297" s="12"/>
      <c r="BH297" s="12"/>
      <c r="BI297" s="12"/>
      <c r="BJ297" s="12"/>
      <c r="BK297" s="12"/>
      <c r="BL297" s="12"/>
      <c r="BM297" s="12"/>
      <c r="BN297" s="12"/>
      <c r="BO297" s="12"/>
      <c r="BP297" s="12"/>
      <c r="BQ297" s="12"/>
      <c r="BR297" s="12"/>
      <c r="BS297" s="12"/>
      <c r="BT297" s="12"/>
      <c r="BU297" s="12"/>
      <c r="BV297" s="12"/>
      <c r="BW297" s="12"/>
      <c r="BX297" s="12"/>
      <c r="BY297" s="12"/>
      <c r="BZ297" s="12"/>
      <c r="CA297" s="12"/>
    </row>
    <row r="298" spans="1:79" x14ac:dyDescent="0.3">
      <c r="A298" s="8">
        <v>2</v>
      </c>
      <c r="B298" s="8" t="s">
        <v>956</v>
      </c>
      <c r="C298" s="8">
        <v>5</v>
      </c>
      <c r="D298" s="8">
        <v>339</v>
      </c>
      <c r="E298" s="8" t="s">
        <v>950</v>
      </c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12"/>
      <c r="AW298" s="12"/>
      <c r="AX298" s="12"/>
      <c r="AY298" s="12"/>
      <c r="AZ298" s="12"/>
      <c r="BA298" s="12"/>
      <c r="BB298" s="12"/>
      <c r="BC298" s="12"/>
      <c r="BD298" s="12"/>
      <c r="BE298" s="12"/>
      <c r="BF298" s="12"/>
      <c r="BG298" s="12"/>
      <c r="BH298" s="12"/>
      <c r="BI298" s="12"/>
      <c r="BJ298" s="12"/>
      <c r="BK298" s="12"/>
      <c r="BL298" s="12"/>
      <c r="BM298" s="12"/>
      <c r="BN298" s="12"/>
      <c r="BO298" s="12"/>
      <c r="BP298" s="12"/>
      <c r="BQ298" s="12"/>
      <c r="BR298" s="12"/>
      <c r="BS298" s="12"/>
      <c r="BT298" s="12"/>
      <c r="BU298" s="12"/>
      <c r="BV298" s="12"/>
      <c r="BW298" s="12"/>
      <c r="BX298" s="12"/>
      <c r="BY298" s="12"/>
      <c r="BZ298" s="12"/>
      <c r="CA298" s="12"/>
    </row>
    <row r="299" spans="1:79" x14ac:dyDescent="0.3">
      <c r="A299" s="8">
        <v>2</v>
      </c>
      <c r="B299" s="8" t="s">
        <v>956</v>
      </c>
      <c r="C299" s="8">
        <v>5</v>
      </c>
      <c r="D299" s="8">
        <v>340</v>
      </c>
      <c r="E299" s="8" t="s">
        <v>950</v>
      </c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12"/>
      <c r="AW299" s="12"/>
      <c r="AX299" s="12"/>
      <c r="AY299" s="12"/>
      <c r="AZ299" s="12"/>
      <c r="BA299" s="12"/>
      <c r="BB299" s="12"/>
      <c r="BC299" s="12"/>
      <c r="BD299" s="12"/>
      <c r="BE299" s="12"/>
      <c r="BF299" s="12"/>
      <c r="BG299" s="12"/>
      <c r="BH299" s="12"/>
      <c r="BI299" s="12"/>
      <c r="BJ299" s="12"/>
      <c r="BK299" s="12"/>
      <c r="BL299" s="12"/>
      <c r="BM299" s="12"/>
      <c r="BN299" s="12"/>
      <c r="BO299" s="12"/>
      <c r="BP299" s="12"/>
      <c r="BQ299" s="12"/>
      <c r="BR299" s="12"/>
      <c r="BS299" s="12"/>
      <c r="BT299" s="12"/>
      <c r="BU299" s="12"/>
      <c r="BV299" s="12"/>
      <c r="BW299" s="12"/>
      <c r="BX299" s="12"/>
      <c r="BY299" s="12"/>
      <c r="BZ299" s="12"/>
      <c r="CA299" s="12"/>
    </row>
    <row r="300" spans="1:79" x14ac:dyDescent="0.3">
      <c r="A300" s="8">
        <v>2</v>
      </c>
      <c r="B300" s="8" t="s">
        <v>956</v>
      </c>
      <c r="C300" s="8">
        <v>5</v>
      </c>
      <c r="D300" s="8">
        <v>341</v>
      </c>
      <c r="E300" s="8" t="s">
        <v>951</v>
      </c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12"/>
      <c r="AW300" s="12"/>
      <c r="AX300" s="12"/>
      <c r="AY300" s="12"/>
      <c r="AZ300" s="12"/>
      <c r="BA300" s="12"/>
      <c r="BB300" s="12"/>
      <c r="BC300" s="12"/>
      <c r="BD300" s="12"/>
      <c r="BE300" s="12"/>
      <c r="BF300" s="12"/>
      <c r="BG300" s="12"/>
      <c r="BH300" s="12"/>
      <c r="BI300" s="12"/>
      <c r="BJ300" s="12"/>
      <c r="BK300" s="12"/>
      <c r="BL300" s="12"/>
      <c r="BM300" s="12"/>
      <c r="BN300" s="12"/>
      <c r="BO300" s="12"/>
      <c r="BP300" s="12"/>
      <c r="BQ300" s="12"/>
      <c r="BR300" s="12"/>
      <c r="BS300" s="12"/>
      <c r="BT300" s="12"/>
      <c r="BU300" s="12"/>
      <c r="BV300" s="12"/>
      <c r="BW300" s="12"/>
      <c r="BX300" s="12"/>
      <c r="BY300" s="12"/>
      <c r="BZ300" s="12"/>
      <c r="CA300" s="12"/>
    </row>
    <row r="301" spans="1:79" x14ac:dyDescent="0.3">
      <c r="A301" s="8">
        <v>2</v>
      </c>
      <c r="B301" s="8" t="s">
        <v>956</v>
      </c>
      <c r="C301" s="8">
        <v>5</v>
      </c>
      <c r="D301" s="8">
        <v>342</v>
      </c>
      <c r="E301" s="8" t="s">
        <v>951</v>
      </c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12"/>
      <c r="AW301" s="12"/>
      <c r="AX301" s="12"/>
      <c r="AY301" s="12"/>
      <c r="AZ301" s="12"/>
      <c r="BA301" s="12"/>
      <c r="BB301" s="12"/>
      <c r="BC301" s="12"/>
      <c r="BD301" s="12"/>
      <c r="BE301" s="12"/>
      <c r="BF301" s="12"/>
      <c r="BG301" s="12"/>
      <c r="BH301" s="12"/>
      <c r="BI301" s="12"/>
      <c r="BJ301" s="12"/>
      <c r="BK301" s="12"/>
      <c r="BL301" s="12"/>
      <c r="BM301" s="12"/>
      <c r="BN301" s="12"/>
      <c r="BO301" s="12"/>
      <c r="BP301" s="12"/>
      <c r="BQ301" s="12"/>
      <c r="BR301" s="12"/>
      <c r="BS301" s="12"/>
      <c r="BT301" s="12"/>
      <c r="BU301" s="12"/>
      <c r="BV301" s="12"/>
      <c r="BW301" s="12"/>
      <c r="BX301" s="12"/>
      <c r="BY301" s="12"/>
      <c r="BZ301" s="12"/>
      <c r="CA301" s="12"/>
    </row>
    <row r="302" spans="1:79" x14ac:dyDescent="0.3">
      <c r="A302" s="8">
        <v>2</v>
      </c>
      <c r="B302" s="8" t="s">
        <v>956</v>
      </c>
      <c r="C302" s="8">
        <v>5</v>
      </c>
      <c r="D302" s="8">
        <v>343</v>
      </c>
      <c r="E302" s="8" t="s">
        <v>951</v>
      </c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12"/>
      <c r="AW302" s="12"/>
      <c r="AX302" s="12"/>
      <c r="AY302" s="12"/>
      <c r="AZ302" s="12"/>
      <c r="BA302" s="12"/>
      <c r="BB302" s="12"/>
      <c r="BC302" s="12"/>
      <c r="BD302" s="12"/>
      <c r="BE302" s="12"/>
      <c r="BF302" s="12"/>
      <c r="BG302" s="12"/>
      <c r="BH302" s="12"/>
      <c r="BI302" s="12"/>
      <c r="BJ302" s="12"/>
      <c r="BK302" s="12"/>
      <c r="BL302" s="12"/>
      <c r="BM302" s="12"/>
      <c r="BN302" s="12"/>
      <c r="BO302" s="12"/>
      <c r="BP302" s="12"/>
      <c r="BQ302" s="12"/>
      <c r="BR302" s="12"/>
      <c r="BS302" s="12"/>
      <c r="BT302" s="12"/>
      <c r="BU302" s="12"/>
      <c r="BV302" s="12"/>
      <c r="BW302" s="12"/>
      <c r="BX302" s="12"/>
      <c r="BY302" s="12"/>
      <c r="BZ302" s="12"/>
      <c r="CA302" s="12"/>
    </row>
    <row r="303" spans="1:79" x14ac:dyDescent="0.3">
      <c r="A303" s="8">
        <v>2</v>
      </c>
      <c r="B303" s="8" t="s">
        <v>956</v>
      </c>
      <c r="C303" s="8">
        <v>5</v>
      </c>
      <c r="D303" s="8">
        <v>344</v>
      </c>
      <c r="E303" s="8" t="s">
        <v>950</v>
      </c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12"/>
      <c r="AW303" s="12"/>
      <c r="AX303" s="12"/>
      <c r="AY303" s="12"/>
      <c r="AZ303" s="12"/>
      <c r="BA303" s="12"/>
      <c r="BB303" s="12"/>
      <c r="BC303" s="12"/>
      <c r="BD303" s="12"/>
      <c r="BE303" s="12"/>
      <c r="BF303" s="12"/>
      <c r="BG303" s="12"/>
      <c r="BH303" s="12"/>
      <c r="BI303" s="12"/>
      <c r="BJ303" s="12"/>
      <c r="BK303" s="12"/>
      <c r="BL303" s="12"/>
      <c r="BM303" s="12"/>
      <c r="BN303" s="12"/>
      <c r="BO303" s="12"/>
      <c r="BP303" s="12"/>
      <c r="BQ303" s="12"/>
      <c r="BR303" s="12"/>
      <c r="BS303" s="12"/>
      <c r="BT303" s="12"/>
      <c r="BU303" s="12"/>
      <c r="BV303" s="12"/>
      <c r="BW303" s="12"/>
      <c r="BX303" s="12"/>
      <c r="BY303" s="12"/>
      <c r="BZ303" s="12"/>
      <c r="CA303" s="12"/>
    </row>
    <row r="304" spans="1:79" x14ac:dyDescent="0.3">
      <c r="A304" s="8">
        <v>2</v>
      </c>
      <c r="B304" s="8" t="s">
        <v>956</v>
      </c>
      <c r="C304" s="8">
        <v>5</v>
      </c>
      <c r="D304" s="8">
        <v>345</v>
      </c>
      <c r="E304" s="8" t="s">
        <v>950</v>
      </c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12"/>
      <c r="AW304" s="12"/>
      <c r="AX304" s="12"/>
      <c r="AY304" s="12"/>
      <c r="AZ304" s="12"/>
      <c r="BA304" s="12"/>
      <c r="BB304" s="12"/>
      <c r="BC304" s="12"/>
      <c r="BD304" s="12"/>
      <c r="BE304" s="12"/>
      <c r="BF304" s="12"/>
      <c r="BG304" s="12"/>
      <c r="BH304" s="12"/>
      <c r="BI304" s="12"/>
      <c r="BJ304" s="12"/>
      <c r="BK304" s="12"/>
      <c r="BL304" s="12"/>
      <c r="BM304" s="12"/>
      <c r="BN304" s="12"/>
      <c r="BO304" s="12"/>
      <c r="BP304" s="12"/>
      <c r="BQ304" s="12"/>
      <c r="BR304" s="12"/>
      <c r="BS304" s="12"/>
      <c r="BT304" s="12"/>
      <c r="BU304" s="12"/>
      <c r="BV304" s="12"/>
      <c r="BW304" s="12"/>
      <c r="BX304" s="12"/>
      <c r="BY304" s="12"/>
      <c r="BZ304" s="12"/>
      <c r="CA304" s="12"/>
    </row>
    <row r="305" spans="1:79" x14ac:dyDescent="0.3">
      <c r="A305" s="8">
        <v>2</v>
      </c>
      <c r="B305" s="8" t="s">
        <v>956</v>
      </c>
      <c r="C305" s="8">
        <v>5</v>
      </c>
      <c r="D305" s="8">
        <v>346</v>
      </c>
      <c r="E305" s="8" t="s">
        <v>951</v>
      </c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12"/>
      <c r="AW305" s="12"/>
      <c r="AX305" s="12"/>
      <c r="AY305" s="12"/>
      <c r="AZ305" s="12"/>
      <c r="BA305" s="12"/>
      <c r="BB305" s="12"/>
      <c r="BC305" s="12"/>
      <c r="BD305" s="12"/>
      <c r="BE305" s="12"/>
      <c r="BF305" s="12"/>
      <c r="BG305" s="12"/>
      <c r="BH305" s="12"/>
      <c r="BI305" s="12"/>
      <c r="BJ305" s="12"/>
      <c r="BK305" s="12"/>
      <c r="BL305" s="12"/>
      <c r="BM305" s="12"/>
      <c r="BN305" s="12"/>
      <c r="BO305" s="12"/>
      <c r="BP305" s="12"/>
      <c r="BQ305" s="12"/>
      <c r="BR305" s="12"/>
      <c r="BS305" s="12"/>
      <c r="BT305" s="12"/>
      <c r="BU305" s="12"/>
      <c r="BV305" s="12"/>
      <c r="BW305" s="12"/>
      <c r="BX305" s="12"/>
      <c r="BY305" s="12"/>
      <c r="BZ305" s="12"/>
      <c r="CA305" s="12"/>
    </row>
    <row r="306" spans="1:79" x14ac:dyDescent="0.3">
      <c r="A306" s="8">
        <v>2</v>
      </c>
      <c r="B306" s="8" t="s">
        <v>956</v>
      </c>
      <c r="C306" s="8">
        <v>5</v>
      </c>
      <c r="D306" s="8">
        <v>347</v>
      </c>
      <c r="E306" s="8" t="s">
        <v>950</v>
      </c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12"/>
      <c r="AW306" s="12"/>
      <c r="AX306" s="12"/>
      <c r="AY306" s="12"/>
      <c r="AZ306" s="12"/>
      <c r="BA306" s="12"/>
      <c r="BB306" s="12"/>
      <c r="BC306" s="12"/>
      <c r="BD306" s="12"/>
      <c r="BE306" s="12"/>
      <c r="BF306" s="12"/>
      <c r="BG306" s="12"/>
      <c r="BH306" s="12"/>
      <c r="BI306" s="12"/>
      <c r="BJ306" s="12"/>
      <c r="BK306" s="12"/>
      <c r="BL306" s="12"/>
      <c r="BM306" s="12"/>
      <c r="BN306" s="12"/>
      <c r="BO306" s="12"/>
      <c r="BP306" s="12"/>
      <c r="BQ306" s="12"/>
      <c r="BR306" s="12"/>
      <c r="BS306" s="12"/>
      <c r="BT306" s="12"/>
      <c r="BU306" s="12"/>
      <c r="BV306" s="12"/>
      <c r="BW306" s="12"/>
      <c r="BX306" s="12"/>
      <c r="BY306" s="12"/>
      <c r="BZ306" s="12"/>
      <c r="CA306" s="12"/>
    </row>
    <row r="307" spans="1:79" x14ac:dyDescent="0.3">
      <c r="A307" s="8">
        <v>2</v>
      </c>
      <c r="B307" s="8" t="s">
        <v>956</v>
      </c>
      <c r="C307" s="8">
        <v>5</v>
      </c>
      <c r="D307" s="8">
        <v>348</v>
      </c>
      <c r="E307" s="8" t="s">
        <v>950</v>
      </c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12"/>
      <c r="AW307" s="12"/>
      <c r="AX307" s="12"/>
      <c r="AY307" s="12"/>
      <c r="AZ307" s="12"/>
      <c r="BA307" s="12"/>
      <c r="BB307" s="12"/>
      <c r="BC307" s="12"/>
      <c r="BD307" s="12"/>
      <c r="BE307" s="12"/>
      <c r="BF307" s="12"/>
      <c r="BG307" s="12"/>
      <c r="BH307" s="12"/>
      <c r="BI307" s="12"/>
      <c r="BJ307" s="12"/>
      <c r="BK307" s="12"/>
      <c r="BL307" s="12"/>
      <c r="BM307" s="12"/>
      <c r="BN307" s="12"/>
      <c r="BO307" s="12"/>
      <c r="BP307" s="12"/>
      <c r="BQ307" s="12"/>
      <c r="BR307" s="12"/>
      <c r="BS307" s="12"/>
      <c r="BT307" s="12"/>
      <c r="BU307" s="12"/>
      <c r="BV307" s="12"/>
      <c r="BW307" s="12"/>
      <c r="BX307" s="12"/>
      <c r="BY307" s="12"/>
      <c r="BZ307" s="12"/>
      <c r="CA307" s="12"/>
    </row>
    <row r="308" spans="1:79" x14ac:dyDescent="0.3">
      <c r="A308" s="8">
        <v>2</v>
      </c>
      <c r="B308" s="8" t="s">
        <v>956</v>
      </c>
      <c r="C308" s="8">
        <v>5</v>
      </c>
      <c r="D308" s="8">
        <v>349</v>
      </c>
      <c r="E308" s="8" t="s">
        <v>950</v>
      </c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12"/>
      <c r="AW308" s="12"/>
      <c r="AX308" s="12"/>
      <c r="AY308" s="12"/>
      <c r="AZ308" s="12"/>
      <c r="BA308" s="12"/>
      <c r="BB308" s="12"/>
      <c r="BC308" s="12"/>
      <c r="BD308" s="12"/>
      <c r="BE308" s="12"/>
      <c r="BF308" s="12"/>
      <c r="BG308" s="12"/>
      <c r="BH308" s="12"/>
      <c r="BI308" s="12"/>
      <c r="BJ308" s="12"/>
      <c r="BK308" s="12"/>
      <c r="BL308" s="12"/>
      <c r="BM308" s="12"/>
      <c r="BN308" s="12"/>
      <c r="BO308" s="12"/>
      <c r="BP308" s="12"/>
      <c r="BQ308" s="12"/>
      <c r="BR308" s="12"/>
      <c r="BS308" s="12"/>
      <c r="BT308" s="12"/>
      <c r="BU308" s="12"/>
      <c r="BV308" s="12"/>
      <c r="BW308" s="12"/>
      <c r="BX308" s="12"/>
      <c r="BY308" s="12"/>
      <c r="BZ308" s="12"/>
      <c r="CA308" s="12"/>
    </row>
    <row r="309" spans="1:79" x14ac:dyDescent="0.3">
      <c r="A309" s="8">
        <v>2</v>
      </c>
      <c r="B309" s="8" t="s">
        <v>956</v>
      </c>
      <c r="C309" s="8">
        <v>5</v>
      </c>
      <c r="D309" s="8">
        <v>350</v>
      </c>
      <c r="E309" s="8" t="s">
        <v>950</v>
      </c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12"/>
      <c r="AW309" s="12"/>
      <c r="AX309" s="12"/>
      <c r="AY309" s="12"/>
      <c r="AZ309" s="12"/>
      <c r="BA309" s="12"/>
      <c r="BB309" s="12"/>
      <c r="BC309" s="12"/>
      <c r="BD309" s="12"/>
      <c r="BE309" s="12"/>
      <c r="BF309" s="12"/>
      <c r="BG309" s="12"/>
      <c r="BH309" s="12"/>
      <c r="BI309" s="12"/>
      <c r="BJ309" s="12"/>
      <c r="BK309" s="12"/>
      <c r="BL309" s="12"/>
      <c r="BM309" s="12"/>
      <c r="BN309" s="12"/>
      <c r="BO309" s="12"/>
      <c r="BP309" s="12"/>
      <c r="BQ309" s="12"/>
      <c r="BR309" s="12"/>
      <c r="BS309" s="12"/>
      <c r="BT309" s="12"/>
      <c r="BU309" s="12"/>
      <c r="BV309" s="12"/>
      <c r="BW309" s="12"/>
      <c r="BX309" s="12"/>
      <c r="BY309" s="12"/>
      <c r="BZ309" s="12"/>
      <c r="CA309" s="12"/>
    </row>
    <row r="310" spans="1:79" x14ac:dyDescent="0.3">
      <c r="A310" s="8">
        <v>2</v>
      </c>
      <c r="B310" s="8" t="s">
        <v>956</v>
      </c>
      <c r="C310" s="8">
        <v>5</v>
      </c>
      <c r="D310" s="8">
        <v>351</v>
      </c>
      <c r="E310" s="8" t="s">
        <v>950</v>
      </c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12"/>
      <c r="AW310" s="12"/>
      <c r="AX310" s="12"/>
      <c r="AY310" s="12"/>
      <c r="AZ310" s="12"/>
      <c r="BA310" s="12"/>
      <c r="BB310" s="12"/>
      <c r="BC310" s="12"/>
      <c r="BD310" s="12"/>
      <c r="BE310" s="12"/>
      <c r="BF310" s="12"/>
      <c r="BG310" s="12"/>
      <c r="BH310" s="12"/>
      <c r="BI310" s="12"/>
      <c r="BJ310" s="12"/>
      <c r="BK310" s="12"/>
      <c r="BL310" s="12"/>
      <c r="BM310" s="12"/>
      <c r="BN310" s="12"/>
      <c r="BO310" s="12"/>
      <c r="BP310" s="12"/>
      <c r="BQ310" s="12"/>
      <c r="BR310" s="12"/>
      <c r="BS310" s="12"/>
      <c r="BT310" s="12"/>
      <c r="BU310" s="12"/>
      <c r="BV310" s="12"/>
      <c r="BW310" s="12"/>
      <c r="BX310" s="12"/>
      <c r="BY310" s="12"/>
      <c r="BZ310" s="12"/>
      <c r="CA310" s="12"/>
    </row>
    <row r="311" spans="1:79" x14ac:dyDescent="0.3">
      <c r="A311" s="8">
        <v>2</v>
      </c>
      <c r="B311" s="8" t="s">
        <v>956</v>
      </c>
      <c r="C311" s="8">
        <v>5</v>
      </c>
      <c r="D311" s="8">
        <v>352</v>
      </c>
      <c r="E311" s="8" t="s">
        <v>950</v>
      </c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12"/>
      <c r="AW311" s="12"/>
      <c r="AX311" s="12"/>
      <c r="AY311" s="12"/>
      <c r="AZ311" s="12"/>
      <c r="BA311" s="12"/>
      <c r="BB311" s="12"/>
      <c r="BC311" s="12"/>
      <c r="BD311" s="12"/>
      <c r="BE311" s="12"/>
      <c r="BF311" s="12"/>
      <c r="BG311" s="12"/>
      <c r="BH311" s="12"/>
      <c r="BI311" s="12"/>
      <c r="BJ311" s="12"/>
      <c r="BK311" s="12"/>
      <c r="BL311" s="12"/>
      <c r="BM311" s="12"/>
      <c r="BN311" s="12"/>
      <c r="BO311" s="12"/>
      <c r="BP311" s="12"/>
      <c r="BQ311" s="12"/>
      <c r="BR311" s="12"/>
      <c r="BS311" s="12"/>
      <c r="BT311" s="12"/>
      <c r="BU311" s="12"/>
      <c r="BV311" s="12"/>
      <c r="BW311" s="12"/>
      <c r="BX311" s="12"/>
      <c r="BY311" s="12"/>
      <c r="BZ311" s="12"/>
      <c r="CA311" s="12"/>
    </row>
    <row r="312" spans="1:79" x14ac:dyDescent="0.3">
      <c r="A312" s="8">
        <v>2</v>
      </c>
      <c r="B312" s="8" t="s">
        <v>956</v>
      </c>
      <c r="C312" s="8">
        <v>5</v>
      </c>
      <c r="D312" s="8">
        <v>353</v>
      </c>
      <c r="E312" s="8" t="s">
        <v>950</v>
      </c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12"/>
      <c r="AW312" s="12"/>
      <c r="AX312" s="12"/>
      <c r="AY312" s="12"/>
      <c r="AZ312" s="12"/>
      <c r="BA312" s="12"/>
      <c r="BB312" s="12"/>
      <c r="BC312" s="12"/>
      <c r="BD312" s="12"/>
      <c r="BE312" s="12"/>
      <c r="BF312" s="12"/>
      <c r="BG312" s="12"/>
      <c r="BH312" s="12"/>
      <c r="BI312" s="12"/>
      <c r="BJ312" s="12"/>
      <c r="BK312" s="12"/>
      <c r="BL312" s="12"/>
      <c r="BM312" s="12"/>
      <c r="BN312" s="12"/>
      <c r="BO312" s="12"/>
      <c r="BP312" s="12"/>
      <c r="BQ312" s="12"/>
      <c r="BR312" s="12"/>
      <c r="BS312" s="12"/>
      <c r="BT312" s="12"/>
      <c r="BU312" s="12"/>
      <c r="BV312" s="12"/>
      <c r="BW312" s="12"/>
      <c r="BX312" s="12"/>
      <c r="BY312" s="12"/>
      <c r="BZ312" s="12"/>
      <c r="CA312" s="12"/>
    </row>
    <row r="313" spans="1:79" x14ac:dyDescent="0.3">
      <c r="A313" s="8">
        <v>2</v>
      </c>
      <c r="B313" s="8" t="s">
        <v>956</v>
      </c>
      <c r="C313" s="8">
        <v>5</v>
      </c>
      <c r="D313" s="8">
        <v>354</v>
      </c>
      <c r="E313" s="8" t="s">
        <v>951</v>
      </c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12"/>
      <c r="AW313" s="12"/>
      <c r="AX313" s="12"/>
      <c r="AY313" s="12"/>
      <c r="AZ313" s="12"/>
      <c r="BA313" s="12"/>
      <c r="BB313" s="12"/>
      <c r="BC313" s="12"/>
      <c r="BD313" s="12"/>
      <c r="BE313" s="12"/>
      <c r="BF313" s="12"/>
      <c r="BG313" s="12"/>
      <c r="BH313" s="12"/>
      <c r="BI313" s="12"/>
      <c r="BJ313" s="12"/>
      <c r="BK313" s="12"/>
      <c r="BL313" s="12"/>
      <c r="BM313" s="12"/>
      <c r="BN313" s="12"/>
      <c r="BO313" s="12"/>
      <c r="BP313" s="12"/>
      <c r="BQ313" s="12"/>
      <c r="BR313" s="12"/>
      <c r="BS313" s="12"/>
      <c r="BT313" s="12"/>
      <c r="BU313" s="12"/>
      <c r="BV313" s="12"/>
      <c r="BW313" s="12"/>
      <c r="BX313" s="12"/>
      <c r="BY313" s="12"/>
      <c r="BZ313" s="12"/>
      <c r="CA313" s="12"/>
    </row>
    <row r="314" spans="1:79" x14ac:dyDescent="0.3">
      <c r="A314" s="8">
        <v>2</v>
      </c>
      <c r="B314" s="8" t="s">
        <v>956</v>
      </c>
      <c r="C314" s="8">
        <v>5</v>
      </c>
      <c r="D314" s="8">
        <v>355</v>
      </c>
      <c r="E314" s="8" t="s">
        <v>950</v>
      </c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12"/>
      <c r="AW314" s="12"/>
      <c r="AX314" s="12"/>
      <c r="AY314" s="12"/>
      <c r="AZ314" s="12"/>
      <c r="BA314" s="12"/>
      <c r="BB314" s="12"/>
      <c r="BC314" s="12"/>
      <c r="BD314" s="12"/>
      <c r="BE314" s="12"/>
      <c r="BF314" s="12"/>
      <c r="BG314" s="12"/>
      <c r="BH314" s="12"/>
      <c r="BI314" s="12"/>
      <c r="BJ314" s="12"/>
      <c r="BK314" s="12"/>
      <c r="BL314" s="12"/>
      <c r="BM314" s="12"/>
      <c r="BN314" s="12"/>
      <c r="BO314" s="12"/>
      <c r="BP314" s="12"/>
      <c r="BQ314" s="12"/>
      <c r="BR314" s="12"/>
      <c r="BS314" s="12"/>
      <c r="BT314" s="12"/>
      <c r="BU314" s="12"/>
      <c r="BV314" s="12"/>
      <c r="BW314" s="12"/>
      <c r="BX314" s="12"/>
      <c r="BY314" s="12"/>
      <c r="BZ314" s="12"/>
      <c r="CA314" s="12"/>
    </row>
    <row r="315" spans="1:79" x14ac:dyDescent="0.3">
      <c r="A315" s="8">
        <v>3</v>
      </c>
      <c r="B315" s="8" t="s">
        <v>956</v>
      </c>
      <c r="C315" s="8">
        <v>5</v>
      </c>
      <c r="D315" s="8">
        <v>356</v>
      </c>
      <c r="E315" s="8" t="s">
        <v>951</v>
      </c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12"/>
      <c r="AW315" s="12"/>
      <c r="AX315" s="12"/>
      <c r="AY315" s="12"/>
      <c r="AZ315" s="12"/>
      <c r="BA315" s="12"/>
      <c r="BB315" s="12"/>
      <c r="BC315" s="12"/>
      <c r="BD315" s="12"/>
      <c r="BE315" s="12"/>
      <c r="BF315" s="12"/>
      <c r="BG315" s="12"/>
      <c r="BH315" s="12"/>
      <c r="BI315" s="12"/>
      <c r="BJ315" s="12"/>
      <c r="BK315" s="12"/>
      <c r="BL315" s="12"/>
      <c r="BM315" s="12"/>
      <c r="BN315" s="12"/>
      <c r="BO315" s="12"/>
      <c r="BP315" s="12"/>
      <c r="BQ315" s="12"/>
      <c r="BR315" s="12"/>
      <c r="BS315" s="12"/>
      <c r="BT315" s="12"/>
      <c r="BU315" s="12"/>
      <c r="BV315" s="12"/>
      <c r="BW315" s="12"/>
      <c r="BX315" s="12"/>
      <c r="BY315" s="12"/>
      <c r="BZ315" s="12"/>
      <c r="CA315" s="12"/>
    </row>
    <row r="316" spans="1:79" x14ac:dyDescent="0.3">
      <c r="A316" s="8">
        <v>3</v>
      </c>
      <c r="B316" s="8" t="s">
        <v>956</v>
      </c>
      <c r="C316" s="8">
        <v>5</v>
      </c>
      <c r="D316" s="8">
        <v>357</v>
      </c>
      <c r="E316" s="8" t="s">
        <v>951</v>
      </c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12"/>
      <c r="AW316" s="12"/>
      <c r="AX316" s="12"/>
      <c r="AY316" s="12"/>
      <c r="AZ316" s="12"/>
      <c r="BA316" s="12"/>
      <c r="BB316" s="12"/>
      <c r="BC316" s="12"/>
      <c r="BD316" s="12"/>
      <c r="BE316" s="12"/>
      <c r="BF316" s="12"/>
      <c r="BG316" s="12"/>
      <c r="BH316" s="12"/>
      <c r="BI316" s="12"/>
      <c r="BJ316" s="12"/>
      <c r="BK316" s="12"/>
      <c r="BL316" s="12"/>
      <c r="BM316" s="12"/>
      <c r="BN316" s="12"/>
      <c r="BO316" s="12"/>
      <c r="BP316" s="12"/>
      <c r="BQ316" s="12"/>
      <c r="BR316" s="12"/>
      <c r="BS316" s="12"/>
      <c r="BT316" s="12"/>
      <c r="BU316" s="12"/>
      <c r="BV316" s="12"/>
      <c r="BW316" s="12"/>
      <c r="BX316" s="12"/>
      <c r="BY316" s="12"/>
      <c r="BZ316" s="12"/>
      <c r="CA316" s="12"/>
    </row>
    <row r="317" spans="1:79" x14ac:dyDescent="0.3">
      <c r="A317" s="8">
        <v>3</v>
      </c>
      <c r="B317" s="8" t="s">
        <v>956</v>
      </c>
      <c r="C317" s="8">
        <v>4</v>
      </c>
      <c r="D317" s="8">
        <v>358</v>
      </c>
      <c r="E317" s="8" t="s">
        <v>950</v>
      </c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12"/>
      <c r="AW317" s="12"/>
      <c r="AX317" s="12"/>
      <c r="AY317" s="12"/>
      <c r="AZ317" s="12"/>
      <c r="BA317" s="12"/>
      <c r="BB317" s="12"/>
      <c r="BC317" s="12"/>
      <c r="BD317" s="12"/>
      <c r="BE317" s="12"/>
      <c r="BF317" s="12"/>
      <c r="BG317" s="12"/>
      <c r="BH317" s="12"/>
      <c r="BI317" s="12"/>
      <c r="BJ317" s="12"/>
      <c r="BK317" s="12"/>
      <c r="BL317" s="12"/>
      <c r="BM317" s="12"/>
      <c r="BN317" s="12"/>
      <c r="BO317" s="12"/>
      <c r="BP317" s="12"/>
      <c r="BQ317" s="12"/>
      <c r="BR317" s="12"/>
      <c r="BS317" s="12"/>
      <c r="BT317" s="12"/>
      <c r="BU317" s="12"/>
      <c r="BV317" s="12"/>
      <c r="BW317" s="12"/>
      <c r="BX317" s="12"/>
      <c r="BY317" s="12"/>
      <c r="BZ317" s="12"/>
      <c r="CA317" s="12"/>
    </row>
    <row r="318" spans="1:79" x14ac:dyDescent="0.3">
      <c r="A318" s="8">
        <v>3</v>
      </c>
      <c r="B318" s="8" t="s">
        <v>956</v>
      </c>
      <c r="C318" s="8">
        <v>4</v>
      </c>
      <c r="D318" s="8">
        <v>359</v>
      </c>
      <c r="E318" s="8" t="s">
        <v>951</v>
      </c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12"/>
      <c r="AW318" s="12"/>
      <c r="AX318" s="12"/>
      <c r="AY318" s="12"/>
      <c r="AZ318" s="12"/>
      <c r="BA318" s="12"/>
      <c r="BB318" s="12"/>
      <c r="BC318" s="12"/>
      <c r="BD318" s="12"/>
      <c r="BE318" s="12"/>
      <c r="BF318" s="12"/>
      <c r="BG318" s="12"/>
      <c r="BH318" s="12"/>
      <c r="BI318" s="12"/>
      <c r="BJ318" s="12"/>
      <c r="BK318" s="12"/>
      <c r="BL318" s="12"/>
      <c r="BM318" s="12"/>
      <c r="BN318" s="12"/>
      <c r="BO318" s="12"/>
      <c r="BP318" s="12"/>
      <c r="BQ318" s="12"/>
      <c r="BR318" s="12"/>
      <c r="BS318" s="12"/>
      <c r="BT318" s="12"/>
      <c r="BU318" s="12"/>
      <c r="BV318" s="12"/>
      <c r="BW318" s="12"/>
      <c r="BX318" s="12"/>
      <c r="BY318" s="12"/>
      <c r="BZ318" s="12"/>
      <c r="CA318" s="12"/>
    </row>
    <row r="319" spans="1:79" x14ac:dyDescent="0.3">
      <c r="A319" s="8">
        <v>3</v>
      </c>
      <c r="B319" s="8" t="s">
        <v>956</v>
      </c>
      <c r="C319" s="8">
        <v>4</v>
      </c>
      <c r="D319" s="8">
        <v>360</v>
      </c>
      <c r="E319" s="8" t="s">
        <v>951</v>
      </c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12"/>
      <c r="AW319" s="12"/>
      <c r="AX319" s="12"/>
      <c r="AY319" s="12"/>
      <c r="AZ319" s="12"/>
      <c r="BA319" s="12"/>
      <c r="BB319" s="12"/>
      <c r="BC319" s="12"/>
      <c r="BD319" s="12"/>
      <c r="BE319" s="12"/>
      <c r="BF319" s="12"/>
      <c r="BG319" s="12"/>
      <c r="BH319" s="12"/>
      <c r="BI319" s="12"/>
      <c r="BJ319" s="12"/>
      <c r="BK319" s="12"/>
      <c r="BL319" s="12"/>
      <c r="BM319" s="12"/>
      <c r="BN319" s="12"/>
      <c r="BO319" s="12"/>
      <c r="BP319" s="12"/>
      <c r="BQ319" s="12"/>
      <c r="BR319" s="12"/>
      <c r="BS319" s="12"/>
      <c r="BT319" s="12"/>
      <c r="BU319" s="12"/>
      <c r="BV319" s="12"/>
      <c r="BW319" s="12"/>
      <c r="BX319" s="12"/>
      <c r="BY319" s="12"/>
      <c r="BZ319" s="12"/>
      <c r="CA319" s="12"/>
    </row>
    <row r="320" spans="1:79" x14ac:dyDescent="0.3">
      <c r="A320" s="8">
        <v>3</v>
      </c>
      <c r="B320" s="8" t="s">
        <v>956</v>
      </c>
      <c r="C320" s="8">
        <v>4</v>
      </c>
      <c r="D320" s="8">
        <v>361</v>
      </c>
      <c r="E320" s="8" t="s">
        <v>950</v>
      </c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12"/>
      <c r="AW320" s="12"/>
      <c r="AX320" s="12"/>
      <c r="AY320" s="12"/>
      <c r="AZ320" s="12"/>
      <c r="BA320" s="12"/>
      <c r="BB320" s="12"/>
      <c r="BC320" s="12"/>
      <c r="BD320" s="12"/>
      <c r="BE320" s="12"/>
      <c r="BF320" s="12"/>
      <c r="BG320" s="12"/>
      <c r="BH320" s="12"/>
      <c r="BI320" s="12"/>
      <c r="BJ320" s="12"/>
      <c r="BK320" s="12"/>
      <c r="BL320" s="12"/>
      <c r="BM320" s="12"/>
      <c r="BN320" s="12"/>
      <c r="BO320" s="12"/>
      <c r="BP320" s="12"/>
      <c r="BQ320" s="12"/>
      <c r="BR320" s="12"/>
      <c r="BS320" s="12"/>
      <c r="BT320" s="12"/>
      <c r="BU320" s="12"/>
      <c r="BV320" s="12"/>
      <c r="BW320" s="12"/>
      <c r="BX320" s="12"/>
      <c r="BY320" s="12"/>
      <c r="BZ320" s="12"/>
      <c r="CA320" s="12"/>
    </row>
    <row r="321" spans="1:79" x14ac:dyDescent="0.3">
      <c r="A321" s="8">
        <v>3</v>
      </c>
      <c r="B321" s="8" t="s">
        <v>956</v>
      </c>
      <c r="C321" s="8">
        <v>4</v>
      </c>
      <c r="D321" s="8">
        <v>362</v>
      </c>
      <c r="E321" s="8" t="s">
        <v>951</v>
      </c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12"/>
      <c r="AW321" s="12"/>
      <c r="AX321" s="12"/>
      <c r="AY321" s="12"/>
      <c r="AZ321" s="12"/>
      <c r="BA321" s="12"/>
      <c r="BB321" s="12"/>
      <c r="BC321" s="12"/>
      <c r="BD321" s="12"/>
      <c r="BE321" s="12"/>
      <c r="BF321" s="12"/>
      <c r="BG321" s="12"/>
      <c r="BH321" s="12"/>
      <c r="BI321" s="12"/>
      <c r="BJ321" s="12"/>
      <c r="BK321" s="12"/>
      <c r="BL321" s="12"/>
      <c r="BM321" s="12"/>
      <c r="BN321" s="12"/>
      <c r="BO321" s="12"/>
      <c r="BP321" s="12"/>
      <c r="BQ321" s="12"/>
      <c r="BR321" s="12"/>
      <c r="BS321" s="12"/>
      <c r="BT321" s="12"/>
      <c r="BU321" s="12"/>
      <c r="BV321" s="12"/>
      <c r="BW321" s="12"/>
      <c r="BX321" s="12"/>
      <c r="BY321" s="12"/>
      <c r="BZ321" s="12"/>
      <c r="CA321" s="12"/>
    </row>
    <row r="322" spans="1:79" x14ac:dyDescent="0.3">
      <c r="A322" s="8">
        <v>3</v>
      </c>
      <c r="B322" s="8" t="s">
        <v>956</v>
      </c>
      <c r="C322" s="8">
        <v>4</v>
      </c>
      <c r="D322" s="8">
        <v>363</v>
      </c>
      <c r="E322" s="8" t="s">
        <v>951</v>
      </c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12"/>
      <c r="AW322" s="12"/>
      <c r="AX322" s="12"/>
      <c r="AY322" s="12"/>
      <c r="AZ322" s="12"/>
      <c r="BA322" s="12"/>
      <c r="BB322" s="12"/>
      <c r="BC322" s="12"/>
      <c r="BD322" s="12"/>
      <c r="BE322" s="12"/>
      <c r="BF322" s="12"/>
      <c r="BG322" s="12"/>
      <c r="BH322" s="12"/>
      <c r="BI322" s="12"/>
      <c r="BJ322" s="12"/>
      <c r="BK322" s="12"/>
      <c r="BL322" s="12"/>
      <c r="BM322" s="12"/>
      <c r="BN322" s="12"/>
      <c r="BO322" s="12"/>
      <c r="BP322" s="12"/>
      <c r="BQ322" s="12"/>
      <c r="BR322" s="12"/>
      <c r="BS322" s="12"/>
      <c r="BT322" s="12"/>
      <c r="BU322" s="12"/>
      <c r="BV322" s="12"/>
      <c r="BW322" s="12"/>
      <c r="BX322" s="12"/>
      <c r="BY322" s="12"/>
      <c r="BZ322" s="12"/>
      <c r="CA322" s="12"/>
    </row>
    <row r="323" spans="1:79" x14ac:dyDescent="0.3">
      <c r="A323" s="8">
        <v>3</v>
      </c>
      <c r="B323" s="8" t="s">
        <v>956</v>
      </c>
      <c r="C323" s="8">
        <v>4</v>
      </c>
      <c r="D323" s="8">
        <v>364</v>
      </c>
      <c r="E323" s="8" t="s">
        <v>951</v>
      </c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12"/>
      <c r="AW323" s="12"/>
      <c r="AX323" s="12"/>
      <c r="AY323" s="12"/>
      <c r="AZ323" s="12"/>
      <c r="BA323" s="12"/>
      <c r="BB323" s="12"/>
      <c r="BC323" s="12"/>
      <c r="BD323" s="12"/>
      <c r="BE323" s="12"/>
      <c r="BF323" s="12"/>
      <c r="BG323" s="12"/>
      <c r="BH323" s="12"/>
      <c r="BI323" s="12"/>
      <c r="BJ323" s="12"/>
      <c r="BK323" s="12"/>
      <c r="BL323" s="12"/>
      <c r="BM323" s="12"/>
      <c r="BN323" s="12"/>
      <c r="BO323" s="12"/>
      <c r="BP323" s="12"/>
      <c r="BQ323" s="12"/>
      <c r="BR323" s="12"/>
      <c r="BS323" s="12"/>
      <c r="BT323" s="12"/>
      <c r="BU323" s="12"/>
      <c r="BV323" s="12"/>
      <c r="BW323" s="12"/>
      <c r="BX323" s="12"/>
      <c r="BY323" s="12"/>
      <c r="BZ323" s="12"/>
      <c r="CA323" s="12"/>
    </row>
    <row r="324" spans="1:79" x14ac:dyDescent="0.3">
      <c r="A324" s="8">
        <v>3</v>
      </c>
      <c r="B324" s="8" t="s">
        <v>956</v>
      </c>
      <c r="C324" s="8">
        <v>4</v>
      </c>
      <c r="D324" s="8">
        <v>365</v>
      </c>
      <c r="E324" s="8" t="s">
        <v>950</v>
      </c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12"/>
      <c r="AW324" s="12"/>
      <c r="AX324" s="12"/>
      <c r="AY324" s="12"/>
      <c r="AZ324" s="12"/>
      <c r="BA324" s="12"/>
      <c r="BB324" s="12"/>
      <c r="BC324" s="12"/>
      <c r="BD324" s="12"/>
      <c r="BE324" s="12"/>
      <c r="BF324" s="12"/>
      <c r="BG324" s="12"/>
      <c r="BH324" s="12"/>
      <c r="BI324" s="12"/>
      <c r="BJ324" s="12"/>
      <c r="BK324" s="12"/>
      <c r="BL324" s="12"/>
      <c r="BM324" s="12"/>
      <c r="BN324" s="12"/>
      <c r="BO324" s="12"/>
      <c r="BP324" s="12"/>
      <c r="BQ324" s="12"/>
      <c r="BR324" s="12"/>
      <c r="BS324" s="12"/>
      <c r="BT324" s="12"/>
      <c r="BU324" s="12"/>
      <c r="BV324" s="12"/>
      <c r="BW324" s="12"/>
      <c r="BX324" s="12"/>
      <c r="BY324" s="12"/>
      <c r="BZ324" s="12"/>
      <c r="CA324" s="12"/>
    </row>
    <row r="325" spans="1:79" x14ac:dyDescent="0.3">
      <c r="A325" s="8">
        <v>3</v>
      </c>
      <c r="B325" s="8" t="s">
        <v>956</v>
      </c>
      <c r="C325" s="8">
        <v>4</v>
      </c>
      <c r="D325" s="8">
        <v>366</v>
      </c>
      <c r="E325" s="8" t="s">
        <v>951</v>
      </c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12"/>
      <c r="AW325" s="12"/>
      <c r="AX325" s="12"/>
      <c r="AY325" s="12"/>
      <c r="AZ325" s="12"/>
      <c r="BA325" s="12"/>
      <c r="BB325" s="12"/>
      <c r="BC325" s="12"/>
      <c r="BD325" s="12"/>
      <c r="BE325" s="12"/>
      <c r="BF325" s="12"/>
      <c r="BG325" s="12"/>
      <c r="BH325" s="12"/>
      <c r="BI325" s="12"/>
      <c r="BJ325" s="12"/>
      <c r="BK325" s="12"/>
      <c r="BL325" s="12"/>
      <c r="BM325" s="12"/>
      <c r="BN325" s="12"/>
      <c r="BO325" s="12"/>
      <c r="BP325" s="12"/>
      <c r="BQ325" s="12"/>
      <c r="BR325" s="12"/>
      <c r="BS325" s="12"/>
      <c r="BT325" s="12"/>
      <c r="BU325" s="12"/>
      <c r="BV325" s="12"/>
      <c r="BW325" s="12"/>
      <c r="BX325" s="12"/>
      <c r="BY325" s="12"/>
      <c r="BZ325" s="12"/>
      <c r="CA325" s="12"/>
    </row>
    <row r="326" spans="1:79" x14ac:dyDescent="0.3">
      <c r="A326" s="8">
        <v>3</v>
      </c>
      <c r="B326" s="8" t="s">
        <v>956</v>
      </c>
      <c r="C326" s="8">
        <v>4</v>
      </c>
      <c r="D326" s="8">
        <v>367</v>
      </c>
      <c r="E326" s="8" t="s">
        <v>950</v>
      </c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12"/>
      <c r="AW326" s="12"/>
      <c r="AX326" s="12"/>
      <c r="AY326" s="12"/>
      <c r="AZ326" s="12"/>
      <c r="BA326" s="12"/>
      <c r="BB326" s="12"/>
      <c r="BC326" s="12"/>
      <c r="BD326" s="12"/>
      <c r="BE326" s="12"/>
      <c r="BF326" s="12"/>
      <c r="BG326" s="12"/>
      <c r="BH326" s="12"/>
      <c r="BI326" s="12"/>
      <c r="BJ326" s="12"/>
      <c r="BK326" s="12"/>
      <c r="BL326" s="12"/>
      <c r="BM326" s="12"/>
      <c r="BN326" s="12"/>
      <c r="BO326" s="12"/>
      <c r="BP326" s="12"/>
      <c r="BQ326" s="12"/>
      <c r="BR326" s="12"/>
      <c r="BS326" s="12"/>
      <c r="BT326" s="12"/>
      <c r="BU326" s="12"/>
      <c r="BV326" s="12"/>
      <c r="BW326" s="12"/>
      <c r="BX326" s="12"/>
      <c r="BY326" s="12"/>
      <c r="BZ326" s="12"/>
      <c r="CA326" s="12"/>
    </row>
    <row r="327" spans="1:79" x14ac:dyDescent="0.3">
      <c r="A327" s="8">
        <v>3</v>
      </c>
      <c r="B327" s="8" t="s">
        <v>956</v>
      </c>
      <c r="C327" s="8">
        <v>4</v>
      </c>
      <c r="D327" s="8">
        <v>368</v>
      </c>
      <c r="E327" s="8" t="s">
        <v>951</v>
      </c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12"/>
      <c r="AW327" s="12"/>
      <c r="AX327" s="12"/>
      <c r="AY327" s="12"/>
      <c r="AZ327" s="12"/>
      <c r="BA327" s="12"/>
      <c r="BB327" s="12"/>
      <c r="BC327" s="12"/>
      <c r="BD327" s="12"/>
      <c r="BE327" s="12"/>
      <c r="BF327" s="12"/>
      <c r="BG327" s="12"/>
      <c r="BH327" s="12"/>
      <c r="BI327" s="12"/>
      <c r="BJ327" s="12"/>
      <c r="BK327" s="12"/>
      <c r="BL327" s="12"/>
      <c r="BM327" s="12"/>
      <c r="BN327" s="12"/>
      <c r="BO327" s="12"/>
      <c r="BP327" s="12"/>
      <c r="BQ327" s="12"/>
      <c r="BR327" s="12"/>
      <c r="BS327" s="12"/>
      <c r="BT327" s="12"/>
      <c r="BU327" s="12"/>
      <c r="BV327" s="12"/>
      <c r="BW327" s="12"/>
      <c r="BX327" s="12"/>
      <c r="BY327" s="12"/>
      <c r="BZ327" s="12"/>
      <c r="CA327" s="12"/>
    </row>
    <row r="328" spans="1:79" x14ac:dyDescent="0.3">
      <c r="A328" s="8">
        <v>3</v>
      </c>
      <c r="B328" s="8" t="s">
        <v>956</v>
      </c>
      <c r="C328" s="8">
        <v>4</v>
      </c>
      <c r="D328" s="8">
        <v>369</v>
      </c>
      <c r="E328" s="8" t="s">
        <v>950</v>
      </c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12"/>
      <c r="AW328" s="12"/>
      <c r="AX328" s="12"/>
      <c r="AY328" s="12"/>
      <c r="AZ328" s="12"/>
      <c r="BA328" s="12"/>
      <c r="BB328" s="12"/>
      <c r="BC328" s="12"/>
      <c r="BD328" s="12"/>
      <c r="BE328" s="12"/>
      <c r="BF328" s="12"/>
      <c r="BG328" s="12"/>
      <c r="BH328" s="12"/>
      <c r="BI328" s="12"/>
      <c r="BJ328" s="12"/>
      <c r="BK328" s="12"/>
      <c r="BL328" s="12"/>
      <c r="BM328" s="12"/>
      <c r="BN328" s="12"/>
      <c r="BO328" s="12"/>
      <c r="BP328" s="12"/>
      <c r="BQ328" s="12"/>
      <c r="BR328" s="12"/>
      <c r="BS328" s="12"/>
      <c r="BT328" s="12"/>
      <c r="BU328" s="12"/>
      <c r="BV328" s="12"/>
      <c r="BW328" s="12"/>
      <c r="BX328" s="12"/>
      <c r="BY328" s="12"/>
      <c r="BZ328" s="12"/>
      <c r="CA328" s="12"/>
    </row>
    <row r="329" spans="1:79" x14ac:dyDescent="0.3">
      <c r="A329" s="8">
        <v>3</v>
      </c>
      <c r="B329" s="8" t="s">
        <v>956</v>
      </c>
      <c r="C329" s="8">
        <v>4</v>
      </c>
      <c r="D329" s="8">
        <v>370</v>
      </c>
      <c r="E329" s="8" t="s">
        <v>951</v>
      </c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12"/>
      <c r="AW329" s="12"/>
      <c r="AX329" s="12"/>
      <c r="AY329" s="12"/>
      <c r="AZ329" s="12"/>
      <c r="BA329" s="12"/>
      <c r="BB329" s="12"/>
      <c r="BC329" s="12"/>
      <c r="BD329" s="12"/>
      <c r="BE329" s="12"/>
      <c r="BF329" s="12"/>
      <c r="BG329" s="12"/>
      <c r="BH329" s="12"/>
      <c r="BI329" s="12"/>
      <c r="BJ329" s="12"/>
      <c r="BK329" s="12"/>
      <c r="BL329" s="12"/>
      <c r="BM329" s="12"/>
      <c r="BN329" s="12"/>
      <c r="BO329" s="12"/>
      <c r="BP329" s="12"/>
      <c r="BQ329" s="12"/>
      <c r="BR329" s="12"/>
      <c r="BS329" s="12"/>
      <c r="BT329" s="12"/>
      <c r="BU329" s="12"/>
      <c r="BV329" s="12"/>
      <c r="BW329" s="12"/>
      <c r="BX329" s="12"/>
      <c r="BY329" s="12"/>
      <c r="BZ329" s="12"/>
      <c r="CA329" s="12"/>
    </row>
    <row r="330" spans="1:79" x14ac:dyDescent="0.3">
      <c r="A330" s="8">
        <v>3</v>
      </c>
      <c r="B330" s="8" t="s">
        <v>956</v>
      </c>
      <c r="C330" s="8">
        <v>4</v>
      </c>
      <c r="D330" s="8">
        <v>371</v>
      </c>
      <c r="E330" s="8" t="s">
        <v>950</v>
      </c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12"/>
      <c r="AW330" s="12"/>
      <c r="AX330" s="12"/>
      <c r="AY330" s="12"/>
      <c r="AZ330" s="12"/>
      <c r="BA330" s="12"/>
      <c r="BB330" s="12"/>
      <c r="BC330" s="12"/>
      <c r="BD330" s="12"/>
      <c r="BE330" s="12"/>
      <c r="BF330" s="12"/>
      <c r="BG330" s="12"/>
      <c r="BH330" s="12"/>
      <c r="BI330" s="12"/>
      <c r="BJ330" s="12"/>
      <c r="BK330" s="12"/>
      <c r="BL330" s="12"/>
      <c r="BM330" s="12"/>
      <c r="BN330" s="12"/>
      <c r="BO330" s="12"/>
      <c r="BP330" s="12"/>
      <c r="BQ330" s="12"/>
      <c r="BR330" s="12"/>
      <c r="BS330" s="12"/>
      <c r="BT330" s="12"/>
      <c r="BU330" s="12"/>
      <c r="BV330" s="12"/>
      <c r="BW330" s="12"/>
      <c r="BX330" s="12"/>
      <c r="BY330" s="12"/>
      <c r="BZ330" s="12"/>
      <c r="CA330" s="12"/>
    </row>
    <row r="331" spans="1:79" x14ac:dyDescent="0.3">
      <c r="A331" s="8">
        <v>3</v>
      </c>
      <c r="B331" s="8" t="s">
        <v>956</v>
      </c>
      <c r="C331" s="8">
        <v>4</v>
      </c>
      <c r="D331" s="8">
        <v>372</v>
      </c>
      <c r="E331" s="8" t="s">
        <v>950</v>
      </c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12"/>
      <c r="AW331" s="12"/>
      <c r="AX331" s="12"/>
      <c r="AY331" s="12"/>
      <c r="AZ331" s="12"/>
      <c r="BA331" s="12"/>
      <c r="BB331" s="12"/>
      <c r="BC331" s="12"/>
      <c r="BD331" s="12"/>
      <c r="BE331" s="12"/>
      <c r="BF331" s="12"/>
      <c r="BG331" s="12"/>
      <c r="BH331" s="12"/>
      <c r="BI331" s="12"/>
      <c r="BJ331" s="12"/>
      <c r="BK331" s="12"/>
      <c r="BL331" s="12"/>
      <c r="BM331" s="12"/>
      <c r="BN331" s="12"/>
      <c r="BO331" s="12"/>
      <c r="BP331" s="12"/>
      <c r="BQ331" s="12"/>
      <c r="BR331" s="12"/>
      <c r="BS331" s="12"/>
      <c r="BT331" s="12"/>
      <c r="BU331" s="12"/>
      <c r="BV331" s="12"/>
      <c r="BW331" s="12"/>
      <c r="BX331" s="12"/>
      <c r="BY331" s="12"/>
      <c r="BZ331" s="12"/>
      <c r="CA331" s="12"/>
    </row>
    <row r="332" spans="1:79" x14ac:dyDescent="0.3">
      <c r="A332" s="8">
        <v>3</v>
      </c>
      <c r="B332" s="8" t="s">
        <v>956</v>
      </c>
      <c r="C332" s="8">
        <v>4</v>
      </c>
      <c r="D332" s="8">
        <v>373</v>
      </c>
      <c r="E332" s="8" t="s">
        <v>950</v>
      </c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12"/>
      <c r="AW332" s="12"/>
      <c r="AX332" s="12"/>
      <c r="AY332" s="12"/>
      <c r="AZ332" s="12"/>
      <c r="BA332" s="12"/>
      <c r="BB332" s="12"/>
      <c r="BC332" s="12"/>
      <c r="BD332" s="12"/>
      <c r="BE332" s="12"/>
      <c r="BF332" s="12"/>
      <c r="BG332" s="12"/>
      <c r="BH332" s="12"/>
      <c r="BI332" s="12"/>
      <c r="BJ332" s="12"/>
      <c r="BK332" s="12"/>
      <c r="BL332" s="12"/>
      <c r="BM332" s="12"/>
      <c r="BN332" s="12"/>
      <c r="BO332" s="12"/>
      <c r="BP332" s="12"/>
      <c r="BQ332" s="12"/>
      <c r="BR332" s="12"/>
      <c r="BS332" s="12"/>
      <c r="BT332" s="12"/>
      <c r="BU332" s="12"/>
      <c r="BV332" s="12"/>
      <c r="BW332" s="12"/>
      <c r="BX332" s="12"/>
      <c r="BY332" s="12"/>
      <c r="BZ332" s="12"/>
      <c r="CA332" s="12"/>
    </row>
    <row r="333" spans="1:79" x14ac:dyDescent="0.3">
      <c r="A333" s="8">
        <v>3</v>
      </c>
      <c r="B333" s="8" t="s">
        <v>956</v>
      </c>
      <c r="C333" s="8">
        <v>4</v>
      </c>
      <c r="D333" s="8">
        <v>374</v>
      </c>
      <c r="E333" s="8" t="s">
        <v>950</v>
      </c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12"/>
      <c r="AW333" s="12"/>
      <c r="AX333" s="12"/>
      <c r="AY333" s="12"/>
      <c r="AZ333" s="12"/>
      <c r="BA333" s="12"/>
      <c r="BB333" s="12"/>
      <c r="BC333" s="12"/>
      <c r="BD333" s="12"/>
      <c r="BE333" s="12"/>
      <c r="BF333" s="12"/>
      <c r="BG333" s="12"/>
      <c r="BH333" s="12"/>
      <c r="BI333" s="12"/>
      <c r="BJ333" s="12"/>
      <c r="BK333" s="12"/>
      <c r="BL333" s="12"/>
      <c r="BM333" s="12"/>
      <c r="BN333" s="12"/>
      <c r="BO333" s="12"/>
      <c r="BP333" s="12"/>
      <c r="BQ333" s="12"/>
      <c r="BR333" s="12"/>
      <c r="BS333" s="12"/>
      <c r="BT333" s="12"/>
      <c r="BU333" s="12"/>
      <c r="BV333" s="12"/>
      <c r="BW333" s="12"/>
      <c r="BX333" s="12"/>
      <c r="BY333" s="12"/>
      <c r="BZ333" s="12"/>
      <c r="CA333" s="12"/>
    </row>
    <row r="334" spans="1:79" x14ac:dyDescent="0.3">
      <c r="A334" s="8">
        <v>3</v>
      </c>
      <c r="B334" s="8" t="s">
        <v>956</v>
      </c>
      <c r="C334" s="8">
        <v>4</v>
      </c>
      <c r="D334" s="8">
        <v>375</v>
      </c>
      <c r="E334" s="8" t="s">
        <v>950</v>
      </c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12"/>
      <c r="AW334" s="12"/>
      <c r="AX334" s="12"/>
      <c r="AY334" s="12"/>
      <c r="AZ334" s="12"/>
      <c r="BA334" s="12"/>
      <c r="BB334" s="12"/>
      <c r="BC334" s="12"/>
      <c r="BD334" s="12"/>
      <c r="BE334" s="12"/>
      <c r="BF334" s="12"/>
      <c r="BG334" s="12"/>
      <c r="BH334" s="12"/>
      <c r="BI334" s="12"/>
      <c r="BJ334" s="12"/>
      <c r="BK334" s="12"/>
      <c r="BL334" s="12"/>
      <c r="BM334" s="12"/>
      <c r="BN334" s="12"/>
      <c r="BO334" s="12"/>
      <c r="BP334" s="12"/>
      <c r="BQ334" s="12"/>
      <c r="BR334" s="12"/>
      <c r="BS334" s="12"/>
      <c r="BT334" s="12"/>
      <c r="BU334" s="12"/>
      <c r="BV334" s="12"/>
      <c r="BW334" s="12"/>
      <c r="BX334" s="12"/>
      <c r="BY334" s="12"/>
      <c r="BZ334" s="12"/>
      <c r="CA334" s="12"/>
    </row>
    <row r="335" spans="1:79" x14ac:dyDescent="0.3">
      <c r="A335" s="8">
        <v>3</v>
      </c>
      <c r="B335" s="8" t="s">
        <v>956</v>
      </c>
      <c r="C335" s="8">
        <v>4</v>
      </c>
      <c r="D335" s="8">
        <v>376</v>
      </c>
      <c r="E335" s="8" t="s">
        <v>950</v>
      </c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12"/>
      <c r="AW335" s="12"/>
      <c r="AX335" s="12"/>
      <c r="AY335" s="12"/>
      <c r="AZ335" s="12"/>
      <c r="BA335" s="12"/>
      <c r="BB335" s="12"/>
      <c r="BC335" s="12"/>
      <c r="BD335" s="12"/>
      <c r="BE335" s="12"/>
      <c r="BF335" s="12"/>
      <c r="BG335" s="12"/>
      <c r="BH335" s="12"/>
      <c r="BI335" s="12"/>
      <c r="BJ335" s="12"/>
      <c r="BK335" s="12"/>
      <c r="BL335" s="12"/>
      <c r="BM335" s="12"/>
      <c r="BN335" s="12"/>
      <c r="BO335" s="12"/>
      <c r="BP335" s="12"/>
      <c r="BQ335" s="12"/>
      <c r="BR335" s="12"/>
      <c r="BS335" s="12"/>
      <c r="BT335" s="12"/>
      <c r="BU335" s="12"/>
      <c r="BV335" s="12"/>
      <c r="BW335" s="12"/>
      <c r="BX335" s="12"/>
      <c r="BY335" s="12"/>
      <c r="BZ335" s="12"/>
      <c r="CA335" s="12"/>
    </row>
    <row r="336" spans="1:79" x14ac:dyDescent="0.3">
      <c r="A336" s="8">
        <v>1</v>
      </c>
      <c r="B336" s="8" t="s">
        <v>956</v>
      </c>
      <c r="C336" s="8">
        <v>4</v>
      </c>
      <c r="D336" s="8">
        <v>377</v>
      </c>
      <c r="E336" s="8" t="s">
        <v>950</v>
      </c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12"/>
      <c r="AW336" s="12"/>
      <c r="AX336" s="12"/>
      <c r="AY336" s="12"/>
      <c r="AZ336" s="12"/>
      <c r="BA336" s="12"/>
      <c r="BB336" s="12"/>
      <c r="BC336" s="12"/>
      <c r="BD336" s="12"/>
      <c r="BE336" s="12"/>
      <c r="BF336" s="12"/>
      <c r="BG336" s="12"/>
      <c r="BH336" s="12"/>
      <c r="BI336" s="12"/>
      <c r="BJ336" s="12"/>
      <c r="BK336" s="12"/>
      <c r="BL336" s="12"/>
      <c r="BM336" s="12"/>
      <c r="BN336" s="12"/>
      <c r="BO336" s="12"/>
      <c r="BP336" s="12"/>
      <c r="BQ336" s="12"/>
      <c r="BR336" s="12"/>
      <c r="BS336" s="12"/>
      <c r="BT336" s="12"/>
      <c r="BU336" s="12"/>
      <c r="BV336" s="12"/>
      <c r="BW336" s="12"/>
      <c r="BX336" s="12"/>
      <c r="BY336" s="12"/>
      <c r="BZ336" s="12"/>
      <c r="CA336" s="12"/>
    </row>
    <row r="337" spans="1:79" x14ac:dyDescent="0.3">
      <c r="A337" s="8">
        <v>1</v>
      </c>
      <c r="B337" s="8" t="s">
        <v>956</v>
      </c>
      <c r="C337" s="8">
        <v>4</v>
      </c>
      <c r="D337" s="8">
        <v>378</v>
      </c>
      <c r="E337" s="8" t="s">
        <v>951</v>
      </c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12"/>
      <c r="AW337" s="12"/>
      <c r="AX337" s="12"/>
      <c r="AY337" s="12"/>
      <c r="AZ337" s="12"/>
      <c r="BA337" s="12"/>
      <c r="BB337" s="12"/>
      <c r="BC337" s="12"/>
      <c r="BD337" s="12"/>
      <c r="BE337" s="12"/>
      <c r="BF337" s="12"/>
      <c r="BG337" s="12"/>
      <c r="BH337" s="12"/>
      <c r="BI337" s="12"/>
      <c r="BJ337" s="12"/>
      <c r="BK337" s="12"/>
      <c r="BL337" s="12"/>
      <c r="BM337" s="12"/>
      <c r="BN337" s="12"/>
      <c r="BO337" s="12"/>
      <c r="BP337" s="12"/>
      <c r="BQ337" s="12"/>
      <c r="BR337" s="12"/>
      <c r="BS337" s="12"/>
      <c r="BT337" s="12"/>
      <c r="BU337" s="12"/>
      <c r="BV337" s="12"/>
      <c r="BW337" s="12"/>
      <c r="BX337" s="12"/>
      <c r="BY337" s="12"/>
      <c r="BZ337" s="12"/>
      <c r="CA337" s="12"/>
    </row>
    <row r="338" spans="1:79" x14ac:dyDescent="0.3">
      <c r="A338" s="8">
        <v>1</v>
      </c>
      <c r="B338" s="8" t="s">
        <v>957</v>
      </c>
      <c r="C338" s="8">
        <v>2</v>
      </c>
      <c r="D338" s="8">
        <v>379</v>
      </c>
      <c r="E338" s="8" t="s">
        <v>950</v>
      </c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12"/>
      <c r="AW338" s="12"/>
      <c r="AX338" s="12"/>
      <c r="AY338" s="12"/>
      <c r="AZ338" s="12"/>
      <c r="BA338" s="12"/>
      <c r="BB338" s="12"/>
      <c r="BC338" s="12"/>
      <c r="BD338" s="12"/>
      <c r="BE338" s="12"/>
      <c r="BF338" s="12"/>
      <c r="BG338" s="12"/>
      <c r="BH338" s="12"/>
      <c r="BI338" s="12"/>
      <c r="BJ338" s="12"/>
      <c r="BK338" s="12"/>
      <c r="BL338" s="12"/>
      <c r="BM338" s="12"/>
      <c r="BN338" s="12"/>
      <c r="BO338" s="12"/>
      <c r="BP338" s="12"/>
      <c r="BQ338" s="12"/>
      <c r="BR338" s="12"/>
      <c r="BS338" s="12"/>
      <c r="BT338" s="12"/>
      <c r="BU338" s="12"/>
      <c r="BV338" s="12"/>
      <c r="BW338" s="12"/>
      <c r="BX338" s="12"/>
      <c r="BY338" s="12"/>
      <c r="BZ338" s="12"/>
      <c r="CA338" s="12"/>
    </row>
    <row r="339" spans="1:79" x14ac:dyDescent="0.3">
      <c r="A339" s="8">
        <v>1</v>
      </c>
      <c r="B339" s="8" t="s">
        <v>957</v>
      </c>
      <c r="C339" s="8">
        <v>2</v>
      </c>
      <c r="D339" s="8">
        <v>380</v>
      </c>
      <c r="E339" s="8" t="s">
        <v>950</v>
      </c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12"/>
      <c r="AW339" s="12"/>
      <c r="AX339" s="12"/>
      <c r="AY339" s="12"/>
      <c r="AZ339" s="12"/>
      <c r="BA339" s="12"/>
      <c r="BB339" s="12"/>
      <c r="BC339" s="12"/>
      <c r="BD339" s="12"/>
      <c r="BE339" s="12"/>
      <c r="BF339" s="12"/>
      <c r="BG339" s="12"/>
      <c r="BH339" s="12"/>
      <c r="BI339" s="12"/>
      <c r="BJ339" s="12"/>
      <c r="BK339" s="12"/>
      <c r="BL339" s="12"/>
      <c r="BM339" s="12"/>
      <c r="BN339" s="12"/>
      <c r="BO339" s="12"/>
      <c r="BP339" s="12"/>
      <c r="BQ339" s="12"/>
      <c r="BR339" s="12"/>
      <c r="BS339" s="12"/>
      <c r="BT339" s="12"/>
      <c r="BU339" s="12"/>
      <c r="BV339" s="12"/>
      <c r="BW339" s="12"/>
      <c r="BX339" s="12"/>
      <c r="BY339" s="12"/>
      <c r="BZ339" s="12"/>
      <c r="CA339" s="12"/>
    </row>
    <row r="340" spans="1:79" x14ac:dyDescent="0.3">
      <c r="A340" s="8">
        <v>1</v>
      </c>
      <c r="B340" s="8" t="s">
        <v>957</v>
      </c>
      <c r="C340" s="8">
        <v>2</v>
      </c>
      <c r="D340" s="8">
        <v>381</v>
      </c>
      <c r="E340" s="8" t="s">
        <v>951</v>
      </c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12"/>
      <c r="AW340" s="12"/>
      <c r="AX340" s="12"/>
      <c r="AY340" s="12"/>
      <c r="AZ340" s="12"/>
      <c r="BA340" s="12"/>
      <c r="BB340" s="12"/>
      <c r="BC340" s="12"/>
      <c r="BD340" s="12"/>
      <c r="BE340" s="12"/>
      <c r="BF340" s="12"/>
      <c r="BG340" s="12"/>
      <c r="BH340" s="12"/>
      <c r="BI340" s="12"/>
      <c r="BJ340" s="12"/>
      <c r="BK340" s="12"/>
      <c r="BL340" s="12"/>
      <c r="BM340" s="12"/>
      <c r="BN340" s="12"/>
      <c r="BO340" s="12"/>
      <c r="BP340" s="12"/>
      <c r="BQ340" s="12"/>
      <c r="BR340" s="12"/>
      <c r="BS340" s="12"/>
      <c r="BT340" s="12"/>
      <c r="BU340" s="12"/>
      <c r="BV340" s="12"/>
      <c r="BW340" s="12"/>
      <c r="BX340" s="12"/>
      <c r="BY340" s="12"/>
      <c r="BZ340" s="12"/>
      <c r="CA340" s="12"/>
    </row>
    <row r="341" spans="1:79" x14ac:dyDescent="0.3">
      <c r="A341" s="8">
        <v>1</v>
      </c>
      <c r="B341" s="8" t="s">
        <v>957</v>
      </c>
      <c r="C341" s="8">
        <v>2</v>
      </c>
      <c r="D341" s="8">
        <v>382</v>
      </c>
      <c r="E341" s="8" t="s">
        <v>951</v>
      </c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12"/>
      <c r="AW341" s="12"/>
      <c r="AX341" s="12"/>
      <c r="AY341" s="12"/>
      <c r="AZ341" s="12"/>
      <c r="BA341" s="12"/>
      <c r="BB341" s="12"/>
      <c r="BC341" s="12"/>
      <c r="BD341" s="12"/>
      <c r="BE341" s="12"/>
      <c r="BF341" s="12"/>
      <c r="BG341" s="12"/>
      <c r="BH341" s="12"/>
      <c r="BI341" s="12"/>
      <c r="BJ341" s="12"/>
      <c r="BK341" s="12"/>
      <c r="BL341" s="12"/>
      <c r="BM341" s="12"/>
      <c r="BN341" s="12"/>
      <c r="BO341" s="12"/>
      <c r="BP341" s="12"/>
      <c r="BQ341" s="12"/>
      <c r="BR341" s="12"/>
      <c r="BS341" s="12"/>
      <c r="BT341" s="12"/>
      <c r="BU341" s="12"/>
      <c r="BV341" s="12"/>
      <c r="BW341" s="12"/>
      <c r="BX341" s="12"/>
      <c r="BY341" s="12"/>
      <c r="BZ341" s="12"/>
      <c r="CA341" s="12"/>
    </row>
    <row r="342" spans="1:79" x14ac:dyDescent="0.3">
      <c r="A342" s="8">
        <v>1</v>
      </c>
      <c r="B342" s="8" t="s">
        <v>957</v>
      </c>
      <c r="C342" s="8">
        <v>2</v>
      </c>
      <c r="D342" s="8">
        <v>383</v>
      </c>
      <c r="E342" s="8" t="s">
        <v>951</v>
      </c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12"/>
      <c r="AW342" s="12"/>
      <c r="AX342" s="12"/>
      <c r="AY342" s="12"/>
      <c r="AZ342" s="12"/>
      <c r="BA342" s="12"/>
      <c r="BB342" s="12"/>
      <c r="BC342" s="12"/>
      <c r="BD342" s="12"/>
      <c r="BE342" s="12"/>
      <c r="BF342" s="12"/>
      <c r="BG342" s="12"/>
      <c r="BH342" s="12"/>
      <c r="BI342" s="12"/>
      <c r="BJ342" s="12"/>
      <c r="BK342" s="12"/>
      <c r="BL342" s="12"/>
      <c r="BM342" s="12"/>
      <c r="BN342" s="12"/>
      <c r="BO342" s="12"/>
      <c r="BP342" s="12"/>
      <c r="BQ342" s="12"/>
      <c r="BR342" s="12"/>
      <c r="BS342" s="12"/>
      <c r="BT342" s="12"/>
      <c r="BU342" s="12"/>
      <c r="BV342" s="12"/>
      <c r="BW342" s="12"/>
      <c r="BX342" s="12"/>
      <c r="BY342" s="12"/>
      <c r="BZ342" s="12"/>
      <c r="CA342" s="12"/>
    </row>
    <row r="343" spans="1:79" x14ac:dyDescent="0.3">
      <c r="A343" s="8">
        <v>1</v>
      </c>
      <c r="B343" s="8" t="s">
        <v>957</v>
      </c>
      <c r="C343" s="8">
        <v>2</v>
      </c>
      <c r="D343" s="8">
        <v>384</v>
      </c>
      <c r="E343" s="8" t="s">
        <v>951</v>
      </c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12"/>
      <c r="AW343" s="12"/>
      <c r="AX343" s="12"/>
      <c r="AY343" s="12"/>
      <c r="AZ343" s="12"/>
      <c r="BA343" s="12"/>
      <c r="BB343" s="12"/>
      <c r="BC343" s="12"/>
      <c r="BD343" s="12"/>
      <c r="BE343" s="12"/>
      <c r="BF343" s="12"/>
      <c r="BG343" s="12"/>
      <c r="BH343" s="12"/>
      <c r="BI343" s="12"/>
      <c r="BJ343" s="12"/>
      <c r="BK343" s="12"/>
      <c r="BL343" s="12"/>
      <c r="BM343" s="12"/>
      <c r="BN343" s="12"/>
      <c r="BO343" s="12"/>
      <c r="BP343" s="12"/>
      <c r="BQ343" s="12"/>
      <c r="BR343" s="12"/>
      <c r="BS343" s="12"/>
      <c r="BT343" s="12"/>
      <c r="BU343" s="12"/>
      <c r="BV343" s="12"/>
      <c r="BW343" s="12"/>
      <c r="BX343" s="12"/>
      <c r="BY343" s="12"/>
      <c r="BZ343" s="12"/>
      <c r="CA343" s="12"/>
    </row>
    <row r="344" spans="1:79" x14ac:dyDescent="0.3">
      <c r="A344" s="8">
        <v>1</v>
      </c>
      <c r="B344" s="8" t="s">
        <v>957</v>
      </c>
      <c r="C344" s="8">
        <v>2</v>
      </c>
      <c r="D344" s="8">
        <v>385</v>
      </c>
      <c r="E344" s="8" t="s">
        <v>950</v>
      </c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12"/>
      <c r="AW344" s="12"/>
      <c r="AX344" s="12"/>
      <c r="AY344" s="12"/>
      <c r="AZ344" s="12"/>
      <c r="BA344" s="12"/>
      <c r="BB344" s="12"/>
      <c r="BC344" s="12"/>
      <c r="BD344" s="12"/>
      <c r="BE344" s="12"/>
      <c r="BF344" s="12"/>
      <c r="BG344" s="12"/>
      <c r="BH344" s="12"/>
      <c r="BI344" s="12"/>
      <c r="BJ344" s="12"/>
      <c r="BK344" s="12"/>
      <c r="BL344" s="12"/>
      <c r="BM344" s="12"/>
      <c r="BN344" s="12"/>
      <c r="BO344" s="12"/>
      <c r="BP344" s="12"/>
      <c r="BQ344" s="12"/>
      <c r="BR344" s="12"/>
      <c r="BS344" s="12"/>
      <c r="BT344" s="12"/>
      <c r="BU344" s="12"/>
      <c r="BV344" s="12"/>
      <c r="BW344" s="12"/>
      <c r="BX344" s="12"/>
      <c r="BY344" s="12"/>
      <c r="BZ344" s="12"/>
      <c r="CA344" s="12"/>
    </row>
    <row r="345" spans="1:79" x14ac:dyDescent="0.3">
      <c r="A345" s="8">
        <v>1</v>
      </c>
      <c r="B345" s="8" t="s">
        <v>957</v>
      </c>
      <c r="C345" s="8">
        <v>2</v>
      </c>
      <c r="D345" s="8">
        <v>386</v>
      </c>
      <c r="E345" s="8" t="s">
        <v>951</v>
      </c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12"/>
      <c r="AW345" s="12"/>
      <c r="AX345" s="12"/>
      <c r="AY345" s="12"/>
      <c r="AZ345" s="12"/>
      <c r="BA345" s="12"/>
      <c r="BB345" s="12"/>
      <c r="BC345" s="12"/>
      <c r="BD345" s="12"/>
      <c r="BE345" s="12"/>
      <c r="BF345" s="12"/>
      <c r="BG345" s="12"/>
      <c r="BH345" s="12"/>
      <c r="BI345" s="12"/>
      <c r="BJ345" s="12"/>
      <c r="BK345" s="12"/>
      <c r="BL345" s="12"/>
      <c r="BM345" s="12"/>
      <c r="BN345" s="12"/>
      <c r="BO345" s="12"/>
      <c r="BP345" s="12"/>
      <c r="BQ345" s="12"/>
      <c r="BR345" s="12"/>
      <c r="BS345" s="12"/>
      <c r="BT345" s="12"/>
      <c r="BU345" s="12"/>
      <c r="BV345" s="12"/>
      <c r="BW345" s="12"/>
      <c r="BX345" s="12"/>
      <c r="BY345" s="12"/>
      <c r="BZ345" s="12"/>
      <c r="CA345" s="12"/>
    </row>
    <row r="346" spans="1:79" x14ac:dyDescent="0.3">
      <c r="A346" s="8">
        <v>1</v>
      </c>
      <c r="B346" s="8" t="s">
        <v>957</v>
      </c>
      <c r="C346" s="8">
        <v>2</v>
      </c>
      <c r="D346" s="8">
        <v>387</v>
      </c>
      <c r="E346" s="8" t="s">
        <v>951</v>
      </c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12"/>
      <c r="AW346" s="12"/>
      <c r="AX346" s="12"/>
      <c r="AY346" s="12"/>
      <c r="AZ346" s="12"/>
      <c r="BA346" s="12"/>
      <c r="BB346" s="12"/>
      <c r="BC346" s="12"/>
      <c r="BD346" s="12"/>
      <c r="BE346" s="12"/>
      <c r="BF346" s="12"/>
      <c r="BG346" s="12"/>
      <c r="BH346" s="12"/>
      <c r="BI346" s="12"/>
      <c r="BJ346" s="12"/>
      <c r="BK346" s="12"/>
      <c r="BL346" s="12"/>
      <c r="BM346" s="12"/>
      <c r="BN346" s="12"/>
      <c r="BO346" s="12"/>
      <c r="BP346" s="12"/>
      <c r="BQ346" s="12"/>
      <c r="BR346" s="12"/>
      <c r="BS346" s="12"/>
      <c r="BT346" s="12"/>
      <c r="BU346" s="12"/>
      <c r="BV346" s="12"/>
      <c r="BW346" s="12"/>
      <c r="BX346" s="12"/>
      <c r="BY346" s="12"/>
      <c r="BZ346" s="12"/>
      <c r="CA346" s="12"/>
    </row>
    <row r="347" spans="1:79" x14ac:dyDescent="0.3">
      <c r="A347" s="8">
        <v>1</v>
      </c>
      <c r="B347" s="8" t="s">
        <v>957</v>
      </c>
      <c r="C347" s="8">
        <v>2</v>
      </c>
      <c r="D347" s="8">
        <v>388</v>
      </c>
      <c r="E347" s="8" t="s">
        <v>951</v>
      </c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12"/>
      <c r="AW347" s="12"/>
      <c r="AX347" s="12"/>
      <c r="AY347" s="12"/>
      <c r="AZ347" s="12"/>
      <c r="BA347" s="12"/>
      <c r="BB347" s="12"/>
      <c r="BC347" s="12"/>
      <c r="BD347" s="12"/>
      <c r="BE347" s="12"/>
      <c r="BF347" s="12"/>
      <c r="BG347" s="12"/>
      <c r="BH347" s="12"/>
      <c r="BI347" s="12"/>
      <c r="BJ347" s="12"/>
      <c r="BK347" s="12"/>
      <c r="BL347" s="12"/>
      <c r="BM347" s="12"/>
      <c r="BN347" s="12"/>
      <c r="BO347" s="12"/>
      <c r="BP347" s="12"/>
      <c r="BQ347" s="12"/>
      <c r="BR347" s="12"/>
      <c r="BS347" s="12"/>
      <c r="BT347" s="12"/>
      <c r="BU347" s="12"/>
      <c r="BV347" s="12"/>
      <c r="BW347" s="12"/>
      <c r="BX347" s="12"/>
      <c r="BY347" s="12"/>
      <c r="BZ347" s="12"/>
      <c r="CA347" s="12"/>
    </row>
    <row r="348" spans="1:79" x14ac:dyDescent="0.3">
      <c r="A348" s="8">
        <v>1</v>
      </c>
      <c r="B348" s="8" t="s">
        <v>957</v>
      </c>
      <c r="C348" s="8">
        <v>2</v>
      </c>
      <c r="D348" s="8">
        <v>389</v>
      </c>
      <c r="E348" s="8" t="s">
        <v>951</v>
      </c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12"/>
      <c r="AW348" s="12"/>
      <c r="AX348" s="12"/>
      <c r="AY348" s="12"/>
      <c r="AZ348" s="12"/>
      <c r="BA348" s="12"/>
      <c r="BB348" s="12"/>
      <c r="BC348" s="12"/>
      <c r="BD348" s="12"/>
      <c r="BE348" s="12"/>
      <c r="BF348" s="12"/>
      <c r="BG348" s="12"/>
      <c r="BH348" s="12"/>
      <c r="BI348" s="12"/>
      <c r="BJ348" s="12"/>
      <c r="BK348" s="12"/>
      <c r="BL348" s="12"/>
      <c r="BM348" s="12"/>
      <c r="BN348" s="12"/>
      <c r="BO348" s="12"/>
      <c r="BP348" s="12"/>
      <c r="BQ348" s="12"/>
      <c r="BR348" s="12"/>
      <c r="BS348" s="12"/>
      <c r="BT348" s="12"/>
      <c r="BU348" s="12"/>
      <c r="BV348" s="12"/>
      <c r="BW348" s="12"/>
      <c r="BX348" s="12"/>
      <c r="BY348" s="12"/>
      <c r="BZ348" s="12"/>
      <c r="CA348" s="12"/>
    </row>
    <row r="349" spans="1:79" x14ac:dyDescent="0.3">
      <c r="A349" s="8">
        <v>1</v>
      </c>
      <c r="B349" s="8" t="s">
        <v>957</v>
      </c>
      <c r="C349" s="8">
        <v>2</v>
      </c>
      <c r="D349" s="8">
        <v>390</v>
      </c>
      <c r="E349" s="8" t="s">
        <v>951</v>
      </c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12"/>
      <c r="AW349" s="12"/>
      <c r="AX349" s="12"/>
      <c r="AY349" s="12"/>
      <c r="AZ349" s="12"/>
      <c r="BA349" s="12"/>
      <c r="BB349" s="12"/>
      <c r="BC349" s="12"/>
      <c r="BD349" s="12"/>
      <c r="BE349" s="12"/>
      <c r="BF349" s="12"/>
      <c r="BG349" s="12"/>
      <c r="BH349" s="12"/>
      <c r="BI349" s="12"/>
      <c r="BJ349" s="12"/>
      <c r="BK349" s="12"/>
      <c r="BL349" s="12"/>
      <c r="BM349" s="12"/>
      <c r="BN349" s="12"/>
      <c r="BO349" s="12"/>
      <c r="BP349" s="12"/>
      <c r="BQ349" s="12"/>
      <c r="BR349" s="12"/>
      <c r="BS349" s="12"/>
      <c r="BT349" s="12"/>
      <c r="BU349" s="12"/>
      <c r="BV349" s="12"/>
      <c r="BW349" s="12"/>
      <c r="BX349" s="12"/>
      <c r="BY349" s="12"/>
      <c r="BZ349" s="12"/>
      <c r="CA349" s="12"/>
    </row>
    <row r="350" spans="1:79" x14ac:dyDescent="0.3">
      <c r="A350" s="8">
        <v>1</v>
      </c>
      <c r="B350" s="8" t="s">
        <v>957</v>
      </c>
      <c r="C350" s="8">
        <v>2</v>
      </c>
      <c r="D350" s="8">
        <v>391</v>
      </c>
      <c r="E350" s="8" t="s">
        <v>950</v>
      </c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12"/>
      <c r="AW350" s="12"/>
      <c r="AX350" s="12"/>
      <c r="AY350" s="12"/>
      <c r="AZ350" s="12"/>
      <c r="BA350" s="12"/>
      <c r="BB350" s="12"/>
      <c r="BC350" s="12"/>
      <c r="BD350" s="12"/>
      <c r="BE350" s="12"/>
      <c r="BF350" s="12"/>
      <c r="BG350" s="12"/>
      <c r="BH350" s="12"/>
      <c r="BI350" s="12"/>
      <c r="BJ350" s="12"/>
      <c r="BK350" s="12"/>
      <c r="BL350" s="12"/>
      <c r="BM350" s="12"/>
      <c r="BN350" s="12"/>
      <c r="BO350" s="12"/>
      <c r="BP350" s="12"/>
      <c r="BQ350" s="12"/>
      <c r="BR350" s="12"/>
      <c r="BS350" s="12"/>
      <c r="BT350" s="12"/>
      <c r="BU350" s="12"/>
      <c r="BV350" s="12"/>
      <c r="BW350" s="12"/>
      <c r="BX350" s="12"/>
      <c r="BY350" s="12"/>
      <c r="BZ350" s="12"/>
      <c r="CA350" s="12"/>
    </row>
    <row r="351" spans="1:79" x14ac:dyDescent="0.3">
      <c r="A351" s="8">
        <v>1</v>
      </c>
      <c r="B351" s="8" t="s">
        <v>957</v>
      </c>
      <c r="C351" s="8">
        <v>2</v>
      </c>
      <c r="D351" s="8">
        <v>392</v>
      </c>
      <c r="E351" s="8" t="s">
        <v>951</v>
      </c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12"/>
      <c r="AW351" s="12"/>
      <c r="AX351" s="12"/>
      <c r="AY351" s="12"/>
      <c r="AZ351" s="12"/>
      <c r="BA351" s="12"/>
      <c r="BB351" s="12"/>
      <c r="BC351" s="12"/>
      <c r="BD351" s="12"/>
      <c r="BE351" s="12"/>
      <c r="BF351" s="12"/>
      <c r="BG351" s="12"/>
      <c r="BH351" s="12"/>
      <c r="BI351" s="12"/>
      <c r="BJ351" s="12"/>
      <c r="BK351" s="12"/>
      <c r="BL351" s="12"/>
      <c r="BM351" s="12"/>
      <c r="BN351" s="12"/>
      <c r="BO351" s="12"/>
      <c r="BP351" s="12"/>
      <c r="BQ351" s="12"/>
      <c r="BR351" s="12"/>
      <c r="BS351" s="12"/>
      <c r="BT351" s="12"/>
      <c r="BU351" s="12"/>
      <c r="BV351" s="12"/>
      <c r="BW351" s="12"/>
      <c r="BX351" s="12"/>
      <c r="BY351" s="12"/>
      <c r="BZ351" s="12"/>
      <c r="CA351" s="12"/>
    </row>
    <row r="352" spans="1:79" x14ac:dyDescent="0.3">
      <c r="A352" s="8">
        <v>1</v>
      </c>
      <c r="B352" s="8" t="s">
        <v>957</v>
      </c>
      <c r="C352" s="8">
        <v>2</v>
      </c>
      <c r="D352" s="8">
        <v>393</v>
      </c>
      <c r="E352" s="8" t="s">
        <v>951</v>
      </c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12"/>
      <c r="AW352" s="12"/>
      <c r="AX352" s="12"/>
      <c r="AY352" s="12"/>
      <c r="AZ352" s="12"/>
      <c r="BA352" s="12"/>
      <c r="BB352" s="12"/>
      <c r="BC352" s="12"/>
      <c r="BD352" s="12"/>
      <c r="BE352" s="12"/>
      <c r="BF352" s="12"/>
      <c r="BG352" s="12"/>
      <c r="BH352" s="12"/>
      <c r="BI352" s="12"/>
      <c r="BJ352" s="12"/>
      <c r="BK352" s="12"/>
      <c r="BL352" s="12"/>
      <c r="BM352" s="12"/>
      <c r="BN352" s="12"/>
      <c r="BO352" s="12"/>
      <c r="BP352" s="12"/>
      <c r="BQ352" s="12"/>
      <c r="BR352" s="12"/>
      <c r="BS352" s="12"/>
      <c r="BT352" s="12"/>
      <c r="BU352" s="12"/>
      <c r="BV352" s="12"/>
      <c r="BW352" s="12"/>
      <c r="BX352" s="12"/>
      <c r="BY352" s="12"/>
      <c r="BZ352" s="12"/>
      <c r="CA352" s="12"/>
    </row>
    <row r="353" spans="1:79" x14ac:dyDescent="0.3">
      <c r="A353" s="8">
        <v>1</v>
      </c>
      <c r="B353" s="8" t="s">
        <v>957</v>
      </c>
      <c r="C353" s="8">
        <v>2</v>
      </c>
      <c r="D353" s="8">
        <v>394</v>
      </c>
      <c r="E353" s="8" t="s">
        <v>951</v>
      </c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12"/>
      <c r="AW353" s="12"/>
      <c r="AX353" s="12"/>
      <c r="AY353" s="12"/>
      <c r="AZ353" s="12"/>
      <c r="BA353" s="12"/>
      <c r="BB353" s="12"/>
      <c r="BC353" s="12"/>
      <c r="BD353" s="12"/>
      <c r="BE353" s="12"/>
      <c r="BF353" s="12"/>
      <c r="BG353" s="12"/>
      <c r="BH353" s="12"/>
      <c r="BI353" s="12"/>
      <c r="BJ353" s="12"/>
      <c r="BK353" s="12"/>
      <c r="BL353" s="12"/>
      <c r="BM353" s="12"/>
      <c r="BN353" s="12"/>
      <c r="BO353" s="12"/>
      <c r="BP353" s="12"/>
      <c r="BQ353" s="12"/>
      <c r="BR353" s="12"/>
      <c r="BS353" s="12"/>
      <c r="BT353" s="12"/>
      <c r="BU353" s="12"/>
      <c r="BV353" s="12"/>
      <c r="BW353" s="12"/>
      <c r="BX353" s="12"/>
      <c r="BY353" s="12"/>
      <c r="BZ353" s="12"/>
      <c r="CA353" s="12"/>
    </row>
    <row r="354" spans="1:79" x14ac:dyDescent="0.3">
      <c r="A354" s="8">
        <v>1</v>
      </c>
      <c r="B354" s="8" t="s">
        <v>957</v>
      </c>
      <c r="C354" s="8">
        <v>2</v>
      </c>
      <c r="D354" s="8">
        <v>395</v>
      </c>
      <c r="E354" s="8" t="s">
        <v>951</v>
      </c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12"/>
      <c r="AW354" s="12"/>
      <c r="AX354" s="12"/>
      <c r="AY354" s="12"/>
      <c r="AZ354" s="12"/>
      <c r="BA354" s="12"/>
      <c r="BB354" s="12"/>
      <c r="BC354" s="12"/>
      <c r="BD354" s="12"/>
      <c r="BE354" s="12"/>
      <c r="BF354" s="12"/>
      <c r="BG354" s="12"/>
      <c r="BH354" s="12"/>
      <c r="BI354" s="12"/>
      <c r="BJ354" s="12"/>
      <c r="BK354" s="12"/>
      <c r="BL354" s="12"/>
      <c r="BM354" s="12"/>
      <c r="BN354" s="12"/>
      <c r="BO354" s="12"/>
      <c r="BP354" s="12"/>
      <c r="BQ354" s="12"/>
      <c r="BR354" s="12"/>
      <c r="BS354" s="12"/>
      <c r="BT354" s="12"/>
      <c r="BU354" s="12"/>
      <c r="BV354" s="12"/>
      <c r="BW354" s="12"/>
      <c r="BX354" s="12"/>
      <c r="BY354" s="12"/>
      <c r="BZ354" s="12"/>
      <c r="CA354" s="12"/>
    </row>
    <row r="355" spans="1:79" x14ac:dyDescent="0.3">
      <c r="A355" s="8">
        <v>1</v>
      </c>
      <c r="B355" s="8" t="s">
        <v>957</v>
      </c>
      <c r="C355" s="8">
        <v>2</v>
      </c>
      <c r="D355" s="8">
        <v>396</v>
      </c>
      <c r="E355" s="8" t="s">
        <v>951</v>
      </c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12"/>
      <c r="AW355" s="12"/>
      <c r="AX355" s="12"/>
      <c r="AY355" s="12"/>
      <c r="AZ355" s="12"/>
      <c r="BA355" s="12"/>
      <c r="BB355" s="12"/>
      <c r="BC355" s="12"/>
      <c r="BD355" s="12"/>
      <c r="BE355" s="12"/>
      <c r="BF355" s="12"/>
      <c r="BG355" s="12"/>
      <c r="BH355" s="12"/>
      <c r="BI355" s="12"/>
      <c r="BJ355" s="12"/>
      <c r="BK355" s="12"/>
      <c r="BL355" s="12"/>
      <c r="BM355" s="12"/>
      <c r="BN355" s="12"/>
      <c r="BO355" s="12"/>
      <c r="BP355" s="12"/>
      <c r="BQ355" s="12"/>
      <c r="BR355" s="12"/>
      <c r="BS355" s="12"/>
      <c r="BT355" s="12"/>
      <c r="BU355" s="12"/>
      <c r="BV355" s="12"/>
      <c r="BW355" s="12"/>
      <c r="BX355" s="12"/>
      <c r="BY355" s="12"/>
      <c r="BZ355" s="12"/>
      <c r="CA355" s="12"/>
    </row>
    <row r="356" spans="1:79" x14ac:dyDescent="0.3">
      <c r="A356" s="8">
        <v>1</v>
      </c>
      <c r="B356" s="8" t="s">
        <v>957</v>
      </c>
      <c r="C356" s="8">
        <v>2</v>
      </c>
      <c r="D356" s="8">
        <v>397</v>
      </c>
      <c r="E356" s="8" t="s">
        <v>951</v>
      </c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12"/>
      <c r="AW356" s="12"/>
      <c r="AX356" s="12"/>
      <c r="AY356" s="12"/>
      <c r="AZ356" s="12"/>
      <c r="BA356" s="12"/>
      <c r="BB356" s="12"/>
      <c r="BC356" s="12"/>
      <c r="BD356" s="12"/>
      <c r="BE356" s="12"/>
      <c r="BF356" s="12"/>
      <c r="BG356" s="12"/>
      <c r="BH356" s="12"/>
      <c r="BI356" s="12"/>
      <c r="BJ356" s="12"/>
      <c r="BK356" s="12"/>
      <c r="BL356" s="12"/>
      <c r="BM356" s="12"/>
      <c r="BN356" s="12"/>
      <c r="BO356" s="12"/>
      <c r="BP356" s="12"/>
      <c r="BQ356" s="12"/>
      <c r="BR356" s="12"/>
      <c r="BS356" s="12"/>
      <c r="BT356" s="12"/>
      <c r="BU356" s="12"/>
      <c r="BV356" s="12"/>
      <c r="BW356" s="12"/>
      <c r="BX356" s="12"/>
      <c r="BY356" s="12"/>
      <c r="BZ356" s="12"/>
      <c r="CA356" s="12"/>
    </row>
    <row r="357" spans="1:79" x14ac:dyDescent="0.3">
      <c r="A357" s="8">
        <v>2</v>
      </c>
      <c r="B357" s="8" t="s">
        <v>957</v>
      </c>
      <c r="C357" s="8">
        <v>2</v>
      </c>
      <c r="D357" s="8">
        <v>398</v>
      </c>
      <c r="E357" s="8" t="s">
        <v>950</v>
      </c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12"/>
      <c r="AW357" s="12"/>
      <c r="AX357" s="12"/>
      <c r="AY357" s="12"/>
      <c r="AZ357" s="12"/>
      <c r="BA357" s="12"/>
      <c r="BB357" s="12"/>
      <c r="BC357" s="12"/>
      <c r="BD357" s="12"/>
      <c r="BE357" s="12"/>
      <c r="BF357" s="12"/>
      <c r="BG357" s="12"/>
      <c r="BH357" s="12"/>
      <c r="BI357" s="12"/>
      <c r="BJ357" s="12"/>
      <c r="BK357" s="12"/>
      <c r="BL357" s="12"/>
      <c r="BM357" s="12"/>
      <c r="BN357" s="12"/>
      <c r="BO357" s="12"/>
      <c r="BP357" s="12"/>
      <c r="BQ357" s="12"/>
      <c r="BR357" s="12"/>
      <c r="BS357" s="12"/>
      <c r="BT357" s="12"/>
      <c r="BU357" s="12"/>
      <c r="BV357" s="12"/>
      <c r="BW357" s="12"/>
      <c r="BX357" s="12"/>
      <c r="BY357" s="12"/>
      <c r="BZ357" s="12"/>
      <c r="CA357" s="12"/>
    </row>
    <row r="358" spans="1:79" x14ac:dyDescent="0.3">
      <c r="A358" s="8">
        <v>2</v>
      </c>
      <c r="B358" s="8" t="s">
        <v>957</v>
      </c>
      <c r="C358" s="8">
        <v>2</v>
      </c>
      <c r="D358" s="8">
        <v>399</v>
      </c>
      <c r="E358" s="8" t="s">
        <v>950</v>
      </c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12"/>
      <c r="AW358" s="12"/>
      <c r="AX358" s="12"/>
      <c r="AY358" s="12"/>
      <c r="AZ358" s="12"/>
      <c r="BA358" s="12"/>
      <c r="BB358" s="12"/>
      <c r="BC358" s="12"/>
      <c r="BD358" s="12"/>
      <c r="BE358" s="12"/>
      <c r="BF358" s="12"/>
      <c r="BG358" s="12"/>
      <c r="BH358" s="12"/>
      <c r="BI358" s="12"/>
      <c r="BJ358" s="12"/>
      <c r="BK358" s="12"/>
      <c r="BL358" s="12"/>
      <c r="BM358" s="12"/>
      <c r="BN358" s="12"/>
      <c r="BO358" s="12"/>
      <c r="BP358" s="12"/>
      <c r="BQ358" s="12"/>
      <c r="BR358" s="12"/>
      <c r="BS358" s="12"/>
      <c r="BT358" s="12"/>
      <c r="BU358" s="12"/>
      <c r="BV358" s="12"/>
      <c r="BW358" s="12"/>
      <c r="BX358" s="12"/>
      <c r="BY358" s="12"/>
      <c r="BZ358" s="12"/>
      <c r="CA358" s="12"/>
    </row>
    <row r="359" spans="1:79" x14ac:dyDescent="0.3">
      <c r="A359" s="8">
        <v>2</v>
      </c>
      <c r="B359" s="8" t="s">
        <v>957</v>
      </c>
      <c r="C359" s="8">
        <v>4</v>
      </c>
      <c r="D359" s="8">
        <v>400</v>
      </c>
      <c r="E359" s="8" t="s">
        <v>951</v>
      </c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12"/>
      <c r="AW359" s="12"/>
      <c r="AX359" s="12"/>
      <c r="AY359" s="12"/>
      <c r="AZ359" s="12"/>
      <c r="BA359" s="12"/>
      <c r="BB359" s="12"/>
      <c r="BC359" s="12"/>
      <c r="BD359" s="12"/>
      <c r="BE359" s="12"/>
      <c r="BF359" s="12"/>
      <c r="BG359" s="12"/>
      <c r="BH359" s="12"/>
      <c r="BI359" s="12"/>
      <c r="BJ359" s="12"/>
      <c r="BK359" s="12"/>
      <c r="BL359" s="12"/>
      <c r="BM359" s="12"/>
      <c r="BN359" s="12"/>
      <c r="BO359" s="12"/>
      <c r="BP359" s="12"/>
      <c r="BQ359" s="12"/>
      <c r="BR359" s="12"/>
      <c r="BS359" s="12"/>
      <c r="BT359" s="12"/>
      <c r="BU359" s="12"/>
      <c r="BV359" s="12"/>
      <c r="BW359" s="12"/>
      <c r="BX359" s="12"/>
      <c r="BY359" s="12"/>
      <c r="BZ359" s="12"/>
      <c r="CA359" s="12"/>
    </row>
    <row r="360" spans="1:79" x14ac:dyDescent="0.3">
      <c r="A360" s="8">
        <v>2</v>
      </c>
      <c r="B360" s="8" t="s">
        <v>957</v>
      </c>
      <c r="C360" s="8">
        <v>4</v>
      </c>
      <c r="D360" s="8">
        <v>401</v>
      </c>
      <c r="E360" s="8" t="s">
        <v>950</v>
      </c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12"/>
      <c r="AW360" s="12"/>
      <c r="AX360" s="12"/>
      <c r="AY360" s="12"/>
      <c r="AZ360" s="12"/>
      <c r="BA360" s="12"/>
      <c r="BB360" s="12"/>
      <c r="BC360" s="12"/>
      <c r="BD360" s="12"/>
      <c r="BE360" s="12"/>
      <c r="BF360" s="12"/>
      <c r="BG360" s="12"/>
      <c r="BH360" s="12"/>
      <c r="BI360" s="12"/>
      <c r="BJ360" s="12"/>
      <c r="BK360" s="12"/>
      <c r="BL360" s="12"/>
      <c r="BM360" s="12"/>
      <c r="BN360" s="12"/>
      <c r="BO360" s="12"/>
      <c r="BP360" s="12"/>
      <c r="BQ360" s="12"/>
      <c r="BR360" s="12"/>
      <c r="BS360" s="12"/>
      <c r="BT360" s="12"/>
      <c r="BU360" s="12"/>
      <c r="BV360" s="12"/>
      <c r="BW360" s="12"/>
      <c r="BX360" s="12"/>
      <c r="BY360" s="12"/>
      <c r="BZ360" s="12"/>
      <c r="CA360" s="12"/>
    </row>
    <row r="361" spans="1:79" x14ac:dyDescent="0.3">
      <c r="A361" s="8">
        <v>2</v>
      </c>
      <c r="B361" s="8" t="s">
        <v>957</v>
      </c>
      <c r="C361" s="8">
        <v>4</v>
      </c>
      <c r="D361" s="8">
        <v>402</v>
      </c>
      <c r="E361" s="8" t="s">
        <v>951</v>
      </c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12"/>
      <c r="AW361" s="12"/>
      <c r="AX361" s="12"/>
      <c r="AY361" s="12"/>
      <c r="AZ361" s="12"/>
      <c r="BA361" s="12"/>
      <c r="BB361" s="12"/>
      <c r="BC361" s="12"/>
      <c r="BD361" s="12"/>
      <c r="BE361" s="12"/>
      <c r="BF361" s="12"/>
      <c r="BG361" s="12"/>
      <c r="BH361" s="12"/>
      <c r="BI361" s="12"/>
      <c r="BJ361" s="12"/>
      <c r="BK361" s="12"/>
      <c r="BL361" s="12"/>
      <c r="BM361" s="12"/>
      <c r="BN361" s="12"/>
      <c r="BO361" s="12"/>
      <c r="BP361" s="12"/>
      <c r="BQ361" s="12"/>
      <c r="BR361" s="12"/>
      <c r="BS361" s="12"/>
      <c r="BT361" s="12"/>
      <c r="BU361" s="12"/>
      <c r="BV361" s="12"/>
      <c r="BW361" s="12"/>
      <c r="BX361" s="12"/>
      <c r="BY361" s="12"/>
      <c r="BZ361" s="12"/>
      <c r="CA361" s="12"/>
    </row>
    <row r="362" spans="1:79" x14ac:dyDescent="0.3">
      <c r="A362" s="8">
        <v>2</v>
      </c>
      <c r="B362" s="8" t="s">
        <v>957</v>
      </c>
      <c r="C362" s="8">
        <v>4</v>
      </c>
      <c r="D362" s="8">
        <v>403</v>
      </c>
      <c r="E362" s="8" t="s">
        <v>951</v>
      </c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12"/>
      <c r="AW362" s="12"/>
      <c r="AX362" s="12"/>
      <c r="AY362" s="12"/>
      <c r="AZ362" s="12"/>
      <c r="BA362" s="12"/>
      <c r="BB362" s="12"/>
      <c r="BC362" s="12"/>
      <c r="BD362" s="12"/>
      <c r="BE362" s="12"/>
      <c r="BF362" s="12"/>
      <c r="BG362" s="12"/>
      <c r="BH362" s="12"/>
      <c r="BI362" s="12"/>
      <c r="BJ362" s="12"/>
      <c r="BK362" s="12"/>
      <c r="BL362" s="12"/>
      <c r="BM362" s="12"/>
      <c r="BN362" s="12"/>
      <c r="BO362" s="12"/>
      <c r="BP362" s="12"/>
      <c r="BQ362" s="12"/>
      <c r="BR362" s="12"/>
      <c r="BS362" s="12"/>
      <c r="BT362" s="12"/>
      <c r="BU362" s="12"/>
      <c r="BV362" s="12"/>
      <c r="BW362" s="12"/>
      <c r="BX362" s="12"/>
      <c r="BY362" s="12"/>
      <c r="BZ362" s="12"/>
      <c r="CA362" s="12"/>
    </row>
    <row r="363" spans="1:79" x14ac:dyDescent="0.3">
      <c r="A363" s="8">
        <v>2</v>
      </c>
      <c r="B363" s="8" t="s">
        <v>957</v>
      </c>
      <c r="C363" s="8">
        <v>4</v>
      </c>
      <c r="D363" s="8">
        <v>404</v>
      </c>
      <c r="E363" s="8" t="s">
        <v>950</v>
      </c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12"/>
      <c r="AW363" s="12"/>
      <c r="AX363" s="12"/>
      <c r="AY363" s="12"/>
      <c r="AZ363" s="12"/>
      <c r="BA363" s="12"/>
      <c r="BB363" s="12"/>
      <c r="BC363" s="12"/>
      <c r="BD363" s="12"/>
      <c r="BE363" s="12"/>
      <c r="BF363" s="12"/>
      <c r="BG363" s="12"/>
      <c r="BH363" s="12"/>
      <c r="BI363" s="12"/>
      <c r="BJ363" s="12"/>
      <c r="BK363" s="12"/>
      <c r="BL363" s="12"/>
      <c r="BM363" s="12"/>
      <c r="BN363" s="12"/>
      <c r="BO363" s="12"/>
      <c r="BP363" s="12"/>
      <c r="BQ363" s="12"/>
      <c r="BR363" s="12"/>
      <c r="BS363" s="12"/>
      <c r="BT363" s="12"/>
      <c r="BU363" s="12"/>
      <c r="BV363" s="12"/>
      <c r="BW363" s="12"/>
      <c r="BX363" s="12"/>
      <c r="BY363" s="12"/>
      <c r="BZ363" s="12"/>
      <c r="CA363" s="12"/>
    </row>
    <row r="364" spans="1:79" x14ac:dyDescent="0.3">
      <c r="A364" s="8">
        <v>2</v>
      </c>
      <c r="B364" s="8" t="s">
        <v>957</v>
      </c>
      <c r="C364" s="8">
        <v>4</v>
      </c>
      <c r="D364" s="8">
        <v>405</v>
      </c>
      <c r="E364" s="8" t="s">
        <v>950</v>
      </c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12"/>
      <c r="AW364" s="12"/>
      <c r="AX364" s="12"/>
      <c r="AY364" s="12"/>
      <c r="AZ364" s="12"/>
      <c r="BA364" s="12"/>
      <c r="BB364" s="12"/>
      <c r="BC364" s="12"/>
      <c r="BD364" s="12"/>
      <c r="BE364" s="12"/>
      <c r="BF364" s="12"/>
      <c r="BG364" s="12"/>
      <c r="BH364" s="12"/>
      <c r="BI364" s="12"/>
      <c r="BJ364" s="12"/>
      <c r="BK364" s="12"/>
      <c r="BL364" s="12"/>
      <c r="BM364" s="12"/>
      <c r="BN364" s="12"/>
      <c r="BO364" s="12"/>
      <c r="BP364" s="12"/>
      <c r="BQ364" s="12"/>
      <c r="BR364" s="12"/>
      <c r="BS364" s="12"/>
      <c r="BT364" s="12"/>
      <c r="BU364" s="12"/>
      <c r="BV364" s="12"/>
      <c r="BW364" s="12"/>
      <c r="BX364" s="12"/>
      <c r="BY364" s="12"/>
      <c r="BZ364" s="12"/>
      <c r="CA364" s="12"/>
    </row>
    <row r="365" spans="1:79" x14ac:dyDescent="0.3">
      <c r="A365" s="8">
        <v>2</v>
      </c>
      <c r="B365" s="8" t="s">
        <v>957</v>
      </c>
      <c r="C365" s="8">
        <v>4</v>
      </c>
      <c r="D365" s="8">
        <v>406</v>
      </c>
      <c r="E365" s="8" t="s">
        <v>951</v>
      </c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12"/>
      <c r="AW365" s="12"/>
      <c r="AX365" s="12"/>
      <c r="AY365" s="12"/>
      <c r="AZ365" s="12"/>
      <c r="BA365" s="12"/>
      <c r="BB365" s="12"/>
      <c r="BC365" s="12"/>
      <c r="BD365" s="12"/>
      <c r="BE365" s="12"/>
      <c r="BF365" s="12"/>
      <c r="BG365" s="12"/>
      <c r="BH365" s="12"/>
      <c r="BI365" s="12"/>
      <c r="BJ365" s="12"/>
      <c r="BK365" s="12"/>
      <c r="BL365" s="12"/>
      <c r="BM365" s="12"/>
      <c r="BN365" s="12"/>
      <c r="BO365" s="12"/>
      <c r="BP365" s="12"/>
      <c r="BQ365" s="12"/>
      <c r="BR365" s="12"/>
      <c r="BS365" s="12"/>
      <c r="BT365" s="12"/>
      <c r="BU365" s="12"/>
      <c r="BV365" s="12"/>
      <c r="BW365" s="12"/>
      <c r="BX365" s="12"/>
      <c r="BY365" s="12"/>
      <c r="BZ365" s="12"/>
      <c r="CA365" s="12"/>
    </row>
    <row r="366" spans="1:79" x14ac:dyDescent="0.3">
      <c r="A366" s="8">
        <v>2</v>
      </c>
      <c r="B366" s="8" t="s">
        <v>957</v>
      </c>
      <c r="C366" s="8">
        <v>4</v>
      </c>
      <c r="D366" s="8">
        <v>407</v>
      </c>
      <c r="E366" s="8" t="s">
        <v>951</v>
      </c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12"/>
      <c r="AW366" s="12"/>
      <c r="AX366" s="12"/>
      <c r="AY366" s="12"/>
      <c r="AZ366" s="12"/>
      <c r="BA366" s="12"/>
      <c r="BB366" s="12"/>
      <c r="BC366" s="12"/>
      <c r="BD366" s="12"/>
      <c r="BE366" s="12"/>
      <c r="BF366" s="12"/>
      <c r="BG366" s="12"/>
      <c r="BH366" s="12"/>
      <c r="BI366" s="12"/>
      <c r="BJ366" s="12"/>
      <c r="BK366" s="12"/>
      <c r="BL366" s="12"/>
      <c r="BM366" s="12"/>
      <c r="BN366" s="12"/>
      <c r="BO366" s="12"/>
      <c r="BP366" s="12"/>
      <c r="BQ366" s="12"/>
      <c r="BR366" s="12"/>
      <c r="BS366" s="12"/>
      <c r="BT366" s="12"/>
      <c r="BU366" s="12"/>
      <c r="BV366" s="12"/>
      <c r="BW366" s="12"/>
      <c r="BX366" s="12"/>
      <c r="BY366" s="12"/>
      <c r="BZ366" s="12"/>
      <c r="CA366" s="12"/>
    </row>
    <row r="367" spans="1:79" x14ac:dyDescent="0.3">
      <c r="A367" s="8">
        <v>2</v>
      </c>
      <c r="B367" s="8" t="s">
        <v>957</v>
      </c>
      <c r="C367" s="8">
        <v>4</v>
      </c>
      <c r="D367" s="8">
        <v>408</v>
      </c>
      <c r="E367" s="8" t="s">
        <v>950</v>
      </c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12"/>
      <c r="AW367" s="12"/>
      <c r="AX367" s="12"/>
      <c r="AY367" s="12"/>
      <c r="AZ367" s="12"/>
      <c r="BA367" s="12"/>
      <c r="BB367" s="12"/>
      <c r="BC367" s="12"/>
      <c r="BD367" s="12"/>
      <c r="BE367" s="12"/>
      <c r="BF367" s="12"/>
      <c r="BG367" s="12"/>
      <c r="BH367" s="12"/>
      <c r="BI367" s="12"/>
      <c r="BJ367" s="12"/>
      <c r="BK367" s="12"/>
      <c r="BL367" s="12"/>
      <c r="BM367" s="12"/>
      <c r="BN367" s="12"/>
      <c r="BO367" s="12"/>
      <c r="BP367" s="12"/>
      <c r="BQ367" s="12"/>
      <c r="BR367" s="12"/>
      <c r="BS367" s="12"/>
      <c r="BT367" s="12"/>
      <c r="BU367" s="12"/>
      <c r="BV367" s="12"/>
      <c r="BW367" s="12"/>
      <c r="BX367" s="12"/>
      <c r="BY367" s="12"/>
      <c r="BZ367" s="12"/>
      <c r="CA367" s="12"/>
    </row>
    <row r="368" spans="1:79" x14ac:dyDescent="0.3">
      <c r="A368" s="8">
        <v>2</v>
      </c>
      <c r="B368" s="8" t="s">
        <v>957</v>
      </c>
      <c r="C368" s="8">
        <v>4</v>
      </c>
      <c r="D368" s="8">
        <v>409</v>
      </c>
      <c r="E368" s="8" t="s">
        <v>951</v>
      </c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12"/>
      <c r="AW368" s="12"/>
      <c r="AX368" s="12"/>
      <c r="AY368" s="12"/>
      <c r="AZ368" s="12"/>
      <c r="BA368" s="12"/>
      <c r="BB368" s="12"/>
      <c r="BC368" s="12"/>
      <c r="BD368" s="12"/>
      <c r="BE368" s="12"/>
      <c r="BF368" s="12"/>
      <c r="BG368" s="12"/>
      <c r="BH368" s="12"/>
      <c r="BI368" s="12"/>
      <c r="BJ368" s="12"/>
      <c r="BK368" s="12"/>
      <c r="BL368" s="12"/>
      <c r="BM368" s="12"/>
      <c r="BN368" s="12"/>
      <c r="BO368" s="12"/>
      <c r="BP368" s="12"/>
      <c r="BQ368" s="12"/>
      <c r="BR368" s="12"/>
      <c r="BS368" s="12"/>
      <c r="BT368" s="12"/>
      <c r="BU368" s="12"/>
      <c r="BV368" s="12"/>
      <c r="BW368" s="12"/>
      <c r="BX368" s="12"/>
      <c r="BY368" s="12"/>
      <c r="BZ368" s="12"/>
      <c r="CA368" s="12"/>
    </row>
    <row r="369" spans="1:79" x14ac:dyDescent="0.3">
      <c r="A369" s="8">
        <v>2</v>
      </c>
      <c r="B369" s="8" t="s">
        <v>957</v>
      </c>
      <c r="C369" s="8">
        <v>4</v>
      </c>
      <c r="D369" s="8">
        <v>410</v>
      </c>
      <c r="E369" s="8" t="s">
        <v>950</v>
      </c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12"/>
      <c r="AW369" s="12"/>
      <c r="AX369" s="12"/>
      <c r="AY369" s="12"/>
      <c r="AZ369" s="12"/>
      <c r="BA369" s="12"/>
      <c r="BB369" s="12"/>
      <c r="BC369" s="12"/>
      <c r="BD369" s="12"/>
      <c r="BE369" s="12"/>
      <c r="BF369" s="12"/>
      <c r="BG369" s="12"/>
      <c r="BH369" s="12"/>
      <c r="BI369" s="12"/>
      <c r="BJ369" s="12"/>
      <c r="BK369" s="12"/>
      <c r="BL369" s="12"/>
      <c r="BM369" s="12"/>
      <c r="BN369" s="12"/>
      <c r="BO369" s="12"/>
      <c r="BP369" s="12"/>
      <c r="BQ369" s="12"/>
      <c r="BR369" s="12"/>
      <c r="BS369" s="12"/>
      <c r="BT369" s="12"/>
      <c r="BU369" s="12"/>
      <c r="BV369" s="12"/>
      <c r="BW369" s="12"/>
      <c r="BX369" s="12"/>
      <c r="BY369" s="12"/>
      <c r="BZ369" s="12"/>
      <c r="CA369" s="12"/>
    </row>
    <row r="370" spans="1:79" x14ac:dyDescent="0.3">
      <c r="A370" s="8">
        <v>2</v>
      </c>
      <c r="B370" s="8" t="s">
        <v>957</v>
      </c>
      <c r="C370" s="8">
        <v>4</v>
      </c>
      <c r="D370" s="8">
        <v>411</v>
      </c>
      <c r="E370" s="8" t="s">
        <v>950</v>
      </c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12"/>
      <c r="AW370" s="12"/>
      <c r="AX370" s="12"/>
      <c r="AY370" s="12"/>
      <c r="AZ370" s="12"/>
      <c r="BA370" s="12"/>
      <c r="BB370" s="12"/>
      <c r="BC370" s="12"/>
      <c r="BD370" s="12"/>
      <c r="BE370" s="12"/>
      <c r="BF370" s="12"/>
      <c r="BG370" s="12"/>
      <c r="BH370" s="12"/>
      <c r="BI370" s="12"/>
      <c r="BJ370" s="12"/>
      <c r="BK370" s="12"/>
      <c r="BL370" s="12"/>
      <c r="BM370" s="12"/>
      <c r="BN370" s="12"/>
      <c r="BO370" s="12"/>
      <c r="BP370" s="12"/>
      <c r="BQ370" s="12"/>
      <c r="BR370" s="12"/>
      <c r="BS370" s="12"/>
      <c r="BT370" s="12"/>
      <c r="BU370" s="12"/>
      <c r="BV370" s="12"/>
      <c r="BW370" s="12"/>
      <c r="BX370" s="12"/>
      <c r="BY370" s="12"/>
      <c r="BZ370" s="12"/>
      <c r="CA370" s="12"/>
    </row>
    <row r="371" spans="1:79" x14ac:dyDescent="0.3">
      <c r="A371" s="8">
        <v>2</v>
      </c>
      <c r="B371" s="8" t="s">
        <v>957</v>
      </c>
      <c r="C371" s="8">
        <v>4</v>
      </c>
      <c r="D371" s="8">
        <v>412</v>
      </c>
      <c r="E371" s="8" t="s">
        <v>951</v>
      </c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12"/>
      <c r="AW371" s="12"/>
      <c r="AX371" s="12"/>
      <c r="AY371" s="12"/>
      <c r="AZ371" s="12"/>
      <c r="BA371" s="12"/>
      <c r="BB371" s="12"/>
      <c r="BC371" s="12"/>
      <c r="BD371" s="12"/>
      <c r="BE371" s="12"/>
      <c r="BF371" s="12"/>
      <c r="BG371" s="12"/>
      <c r="BH371" s="12"/>
      <c r="BI371" s="12"/>
      <c r="BJ371" s="12"/>
      <c r="BK371" s="12"/>
      <c r="BL371" s="12"/>
      <c r="BM371" s="12"/>
      <c r="BN371" s="12"/>
      <c r="BO371" s="12"/>
      <c r="BP371" s="12"/>
      <c r="BQ371" s="12"/>
      <c r="BR371" s="12"/>
      <c r="BS371" s="12"/>
      <c r="BT371" s="12"/>
      <c r="BU371" s="12"/>
      <c r="BV371" s="12"/>
      <c r="BW371" s="12"/>
      <c r="BX371" s="12"/>
      <c r="BY371" s="12"/>
      <c r="BZ371" s="12"/>
      <c r="CA371" s="12"/>
    </row>
    <row r="372" spans="1:79" x14ac:dyDescent="0.3">
      <c r="A372" s="8">
        <v>2</v>
      </c>
      <c r="B372" s="8" t="s">
        <v>957</v>
      </c>
      <c r="C372" s="8">
        <v>4</v>
      </c>
      <c r="D372" s="8">
        <v>413</v>
      </c>
      <c r="E372" s="8" t="s">
        <v>950</v>
      </c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12"/>
      <c r="AW372" s="12"/>
      <c r="AX372" s="12"/>
      <c r="AY372" s="12"/>
      <c r="AZ372" s="12"/>
      <c r="BA372" s="12"/>
      <c r="BB372" s="12"/>
      <c r="BC372" s="12"/>
      <c r="BD372" s="12"/>
      <c r="BE372" s="12"/>
      <c r="BF372" s="12"/>
      <c r="BG372" s="12"/>
      <c r="BH372" s="12"/>
      <c r="BI372" s="12"/>
      <c r="BJ372" s="12"/>
      <c r="BK372" s="12"/>
      <c r="BL372" s="12"/>
      <c r="BM372" s="12"/>
      <c r="BN372" s="12"/>
      <c r="BO372" s="12"/>
      <c r="BP372" s="12"/>
      <c r="BQ372" s="12"/>
      <c r="BR372" s="12"/>
      <c r="BS372" s="12"/>
      <c r="BT372" s="12"/>
      <c r="BU372" s="12"/>
      <c r="BV372" s="12"/>
      <c r="BW372" s="12"/>
      <c r="BX372" s="12"/>
      <c r="BY372" s="12"/>
      <c r="BZ372" s="12"/>
      <c r="CA372" s="12"/>
    </row>
    <row r="373" spans="1:79" x14ac:dyDescent="0.3">
      <c r="A373" s="8">
        <v>2</v>
      </c>
      <c r="B373" s="8" t="s">
        <v>957</v>
      </c>
      <c r="C373" s="8">
        <v>4</v>
      </c>
      <c r="D373" s="8">
        <v>414</v>
      </c>
      <c r="E373" s="8" t="s">
        <v>951</v>
      </c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12"/>
      <c r="AW373" s="12"/>
      <c r="AX373" s="12"/>
      <c r="AY373" s="12"/>
      <c r="AZ373" s="12"/>
      <c r="BA373" s="12"/>
      <c r="BB373" s="12"/>
      <c r="BC373" s="12"/>
      <c r="BD373" s="12"/>
      <c r="BE373" s="12"/>
      <c r="BF373" s="12"/>
      <c r="BG373" s="12"/>
      <c r="BH373" s="12"/>
      <c r="BI373" s="12"/>
      <c r="BJ373" s="12"/>
      <c r="BK373" s="12"/>
      <c r="BL373" s="12"/>
      <c r="BM373" s="12"/>
      <c r="BN373" s="12"/>
      <c r="BO373" s="12"/>
      <c r="BP373" s="12"/>
      <c r="BQ373" s="12"/>
      <c r="BR373" s="12"/>
      <c r="BS373" s="12"/>
      <c r="BT373" s="12"/>
      <c r="BU373" s="12"/>
      <c r="BV373" s="12"/>
      <c r="BW373" s="12"/>
      <c r="BX373" s="12"/>
      <c r="BY373" s="12"/>
      <c r="BZ373" s="12"/>
      <c r="CA373" s="12"/>
    </row>
    <row r="374" spans="1:79" x14ac:dyDescent="0.3">
      <c r="A374" s="8">
        <v>2</v>
      </c>
      <c r="B374" s="8" t="s">
        <v>957</v>
      </c>
      <c r="C374" s="8">
        <v>4</v>
      </c>
      <c r="D374" s="8">
        <v>415</v>
      </c>
      <c r="E374" s="8" t="s">
        <v>951</v>
      </c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12"/>
      <c r="AW374" s="12"/>
      <c r="AX374" s="12"/>
      <c r="AY374" s="12"/>
      <c r="AZ374" s="12"/>
      <c r="BA374" s="12"/>
      <c r="BB374" s="12"/>
      <c r="BC374" s="12"/>
      <c r="BD374" s="12"/>
      <c r="BE374" s="12"/>
      <c r="BF374" s="12"/>
      <c r="BG374" s="12"/>
      <c r="BH374" s="12"/>
      <c r="BI374" s="12"/>
      <c r="BJ374" s="12"/>
      <c r="BK374" s="12"/>
      <c r="BL374" s="12"/>
      <c r="BM374" s="12"/>
      <c r="BN374" s="12"/>
      <c r="BO374" s="12"/>
      <c r="BP374" s="12"/>
      <c r="BQ374" s="12"/>
      <c r="BR374" s="12"/>
      <c r="BS374" s="12"/>
      <c r="BT374" s="12"/>
      <c r="BU374" s="12"/>
      <c r="BV374" s="12"/>
      <c r="BW374" s="12"/>
      <c r="BX374" s="12"/>
      <c r="BY374" s="12"/>
      <c r="BZ374" s="12"/>
      <c r="CA374" s="12"/>
    </row>
    <row r="375" spans="1:79" x14ac:dyDescent="0.3">
      <c r="A375" s="8">
        <v>2</v>
      </c>
      <c r="B375" s="8" t="s">
        <v>957</v>
      </c>
      <c r="C375" s="8">
        <v>4</v>
      </c>
      <c r="D375" s="8">
        <v>416</v>
      </c>
      <c r="E375" s="8" t="s">
        <v>951</v>
      </c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12"/>
      <c r="AW375" s="12"/>
      <c r="AX375" s="12"/>
      <c r="AY375" s="12"/>
      <c r="AZ375" s="12"/>
      <c r="BA375" s="12"/>
      <c r="BB375" s="12"/>
      <c r="BC375" s="12"/>
      <c r="BD375" s="12"/>
      <c r="BE375" s="12"/>
      <c r="BF375" s="12"/>
      <c r="BG375" s="12"/>
      <c r="BH375" s="12"/>
      <c r="BI375" s="12"/>
      <c r="BJ375" s="12"/>
      <c r="BK375" s="12"/>
      <c r="BL375" s="12"/>
      <c r="BM375" s="12"/>
      <c r="BN375" s="12"/>
      <c r="BO375" s="12"/>
      <c r="BP375" s="12"/>
      <c r="BQ375" s="12"/>
      <c r="BR375" s="12"/>
      <c r="BS375" s="12"/>
      <c r="BT375" s="12"/>
      <c r="BU375" s="12"/>
      <c r="BV375" s="12"/>
      <c r="BW375" s="12"/>
      <c r="BX375" s="12"/>
      <c r="BY375" s="12"/>
      <c r="BZ375" s="12"/>
      <c r="CA375" s="12"/>
    </row>
    <row r="376" spans="1:79" x14ac:dyDescent="0.3">
      <c r="A376" s="8">
        <v>2</v>
      </c>
      <c r="B376" s="8" t="s">
        <v>957</v>
      </c>
      <c r="C376" s="8">
        <v>4</v>
      </c>
      <c r="D376" s="8">
        <v>417</v>
      </c>
      <c r="E376" s="8" t="s">
        <v>951</v>
      </c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12"/>
      <c r="AW376" s="12"/>
      <c r="AX376" s="12"/>
      <c r="AY376" s="12"/>
      <c r="AZ376" s="12"/>
      <c r="BA376" s="12"/>
      <c r="BB376" s="12"/>
      <c r="BC376" s="12"/>
      <c r="BD376" s="12"/>
      <c r="BE376" s="12"/>
      <c r="BF376" s="12"/>
      <c r="BG376" s="12"/>
      <c r="BH376" s="12"/>
      <c r="BI376" s="12"/>
      <c r="BJ376" s="12"/>
      <c r="BK376" s="12"/>
      <c r="BL376" s="12"/>
      <c r="BM376" s="12"/>
      <c r="BN376" s="12"/>
      <c r="BO376" s="12"/>
      <c r="BP376" s="12"/>
      <c r="BQ376" s="12"/>
      <c r="BR376" s="12"/>
      <c r="BS376" s="12"/>
      <c r="BT376" s="12"/>
      <c r="BU376" s="12"/>
      <c r="BV376" s="12"/>
      <c r="BW376" s="12"/>
      <c r="BX376" s="12"/>
      <c r="BY376" s="12"/>
      <c r="BZ376" s="12"/>
      <c r="CA376" s="12"/>
    </row>
    <row r="377" spans="1:79" x14ac:dyDescent="0.3">
      <c r="A377" s="8">
        <v>2</v>
      </c>
      <c r="B377" s="8" t="s">
        <v>957</v>
      </c>
      <c r="C377" s="8">
        <v>4</v>
      </c>
      <c r="D377" s="8">
        <v>418</v>
      </c>
      <c r="E377" s="8" t="s">
        <v>951</v>
      </c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12"/>
      <c r="AW377" s="12"/>
      <c r="AX377" s="12"/>
      <c r="AY377" s="12"/>
      <c r="AZ377" s="12"/>
      <c r="BA377" s="12"/>
      <c r="BB377" s="12"/>
      <c r="BC377" s="12"/>
      <c r="BD377" s="12"/>
      <c r="BE377" s="12"/>
      <c r="BF377" s="12"/>
      <c r="BG377" s="12"/>
      <c r="BH377" s="12"/>
      <c r="BI377" s="12"/>
      <c r="BJ377" s="12"/>
      <c r="BK377" s="12"/>
      <c r="BL377" s="12"/>
      <c r="BM377" s="12"/>
      <c r="BN377" s="12"/>
      <c r="BO377" s="12"/>
      <c r="BP377" s="12"/>
      <c r="BQ377" s="12"/>
      <c r="BR377" s="12"/>
      <c r="BS377" s="12"/>
      <c r="BT377" s="12"/>
      <c r="BU377" s="12"/>
      <c r="BV377" s="12"/>
      <c r="BW377" s="12"/>
      <c r="BX377" s="12"/>
      <c r="BY377" s="12"/>
      <c r="BZ377" s="12"/>
      <c r="CA377" s="12"/>
    </row>
    <row r="378" spans="1:79" x14ac:dyDescent="0.3">
      <c r="A378" s="8">
        <v>3</v>
      </c>
      <c r="B378" s="8" t="s">
        <v>957</v>
      </c>
      <c r="C378" s="8">
        <v>4</v>
      </c>
      <c r="D378" s="8">
        <v>419</v>
      </c>
      <c r="E378" s="8" t="s">
        <v>950</v>
      </c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12"/>
      <c r="AW378" s="12"/>
      <c r="AX378" s="12"/>
      <c r="AY378" s="12"/>
      <c r="AZ378" s="12"/>
      <c r="BA378" s="12"/>
      <c r="BB378" s="12"/>
      <c r="BC378" s="12"/>
      <c r="BD378" s="12"/>
      <c r="BE378" s="12"/>
      <c r="BF378" s="12"/>
      <c r="BG378" s="12"/>
      <c r="BH378" s="12"/>
      <c r="BI378" s="12"/>
      <c r="BJ378" s="12"/>
      <c r="BK378" s="12"/>
      <c r="BL378" s="12"/>
      <c r="BM378" s="12"/>
      <c r="BN378" s="12"/>
      <c r="BO378" s="12"/>
      <c r="BP378" s="12"/>
      <c r="BQ378" s="12"/>
      <c r="BR378" s="12"/>
      <c r="BS378" s="12"/>
      <c r="BT378" s="12"/>
      <c r="BU378" s="12"/>
      <c r="BV378" s="12"/>
      <c r="BW378" s="12"/>
      <c r="BX378" s="12"/>
      <c r="BY378" s="12"/>
      <c r="BZ378" s="12"/>
      <c r="CA378" s="12"/>
    </row>
    <row r="379" spans="1:79" x14ac:dyDescent="0.3">
      <c r="A379" s="8">
        <v>3</v>
      </c>
      <c r="B379" s="8" t="s">
        <v>957</v>
      </c>
      <c r="C379" s="8">
        <v>4</v>
      </c>
      <c r="D379" s="8">
        <v>420</v>
      </c>
      <c r="E379" s="8" t="s">
        <v>951</v>
      </c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12"/>
      <c r="AW379" s="12"/>
      <c r="AX379" s="12"/>
      <c r="AY379" s="12"/>
      <c r="AZ379" s="12"/>
      <c r="BA379" s="12"/>
      <c r="BB379" s="12"/>
      <c r="BC379" s="12"/>
      <c r="BD379" s="12"/>
      <c r="BE379" s="12"/>
      <c r="BF379" s="12"/>
      <c r="BG379" s="12"/>
      <c r="BH379" s="12"/>
      <c r="BI379" s="12"/>
      <c r="BJ379" s="12"/>
      <c r="BK379" s="12"/>
      <c r="BL379" s="12"/>
      <c r="BM379" s="12"/>
      <c r="BN379" s="12"/>
      <c r="BO379" s="12"/>
      <c r="BP379" s="12"/>
      <c r="BQ379" s="12"/>
      <c r="BR379" s="12"/>
      <c r="BS379" s="12"/>
      <c r="BT379" s="12"/>
      <c r="BU379" s="12"/>
      <c r="BV379" s="12"/>
      <c r="BW379" s="12"/>
      <c r="BX379" s="12"/>
      <c r="BY379" s="12"/>
      <c r="BZ379" s="12"/>
      <c r="CA379" s="12"/>
    </row>
    <row r="380" spans="1:79" x14ac:dyDescent="0.3">
      <c r="A380" s="8">
        <v>3</v>
      </c>
      <c r="B380" s="8" t="s">
        <v>957</v>
      </c>
      <c r="C380" s="8">
        <v>1</v>
      </c>
      <c r="D380" s="8">
        <v>421</v>
      </c>
      <c r="E380" s="8" t="s">
        <v>950</v>
      </c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12"/>
      <c r="AW380" s="12"/>
      <c r="AX380" s="12"/>
      <c r="AY380" s="12"/>
      <c r="AZ380" s="12"/>
      <c r="BA380" s="12"/>
      <c r="BB380" s="12"/>
      <c r="BC380" s="12"/>
      <c r="BD380" s="12"/>
      <c r="BE380" s="12"/>
      <c r="BF380" s="12"/>
      <c r="BG380" s="12"/>
      <c r="BH380" s="12"/>
      <c r="BI380" s="12"/>
      <c r="BJ380" s="12"/>
      <c r="BK380" s="12"/>
      <c r="BL380" s="12"/>
      <c r="BM380" s="12"/>
      <c r="BN380" s="12"/>
      <c r="BO380" s="12"/>
      <c r="BP380" s="12"/>
      <c r="BQ380" s="12"/>
      <c r="BR380" s="12"/>
      <c r="BS380" s="12"/>
      <c r="BT380" s="12"/>
      <c r="BU380" s="12"/>
      <c r="BV380" s="12"/>
      <c r="BW380" s="12"/>
      <c r="BX380" s="12"/>
      <c r="BY380" s="12"/>
      <c r="BZ380" s="12"/>
      <c r="CA380" s="12"/>
    </row>
    <row r="381" spans="1:79" x14ac:dyDescent="0.3">
      <c r="A381" s="8">
        <v>3</v>
      </c>
      <c r="B381" s="8" t="s">
        <v>957</v>
      </c>
      <c r="C381" s="8">
        <v>1</v>
      </c>
      <c r="D381" s="8">
        <v>422</v>
      </c>
      <c r="E381" s="8" t="s">
        <v>950</v>
      </c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12"/>
      <c r="AW381" s="12"/>
      <c r="AX381" s="12"/>
      <c r="AY381" s="12"/>
      <c r="AZ381" s="12"/>
      <c r="BA381" s="12"/>
      <c r="BB381" s="12"/>
      <c r="BC381" s="12"/>
      <c r="BD381" s="12"/>
      <c r="BE381" s="12"/>
      <c r="BF381" s="12"/>
      <c r="BG381" s="12"/>
      <c r="BH381" s="12"/>
      <c r="BI381" s="12"/>
      <c r="BJ381" s="12"/>
      <c r="BK381" s="12"/>
      <c r="BL381" s="12"/>
      <c r="BM381" s="12"/>
      <c r="BN381" s="12"/>
      <c r="BO381" s="12"/>
      <c r="BP381" s="12"/>
      <c r="BQ381" s="12"/>
      <c r="BR381" s="12"/>
      <c r="BS381" s="12"/>
      <c r="BT381" s="12"/>
      <c r="BU381" s="12"/>
      <c r="BV381" s="12"/>
      <c r="BW381" s="12"/>
      <c r="BX381" s="12"/>
      <c r="BY381" s="12"/>
      <c r="BZ381" s="12"/>
      <c r="CA381" s="12"/>
    </row>
    <row r="382" spans="1:79" x14ac:dyDescent="0.3">
      <c r="A382" s="8">
        <v>3</v>
      </c>
      <c r="B382" s="8" t="s">
        <v>957</v>
      </c>
      <c r="C382" s="8">
        <v>1</v>
      </c>
      <c r="D382" s="8">
        <v>423</v>
      </c>
      <c r="E382" s="8" t="s">
        <v>951</v>
      </c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12"/>
      <c r="AW382" s="12"/>
      <c r="AX382" s="12"/>
      <c r="AY382" s="12"/>
      <c r="AZ382" s="12"/>
      <c r="BA382" s="12"/>
      <c r="BB382" s="12"/>
      <c r="BC382" s="12"/>
      <c r="BD382" s="12"/>
      <c r="BE382" s="12"/>
      <c r="BF382" s="12"/>
      <c r="BG382" s="12"/>
      <c r="BH382" s="12"/>
      <c r="BI382" s="12"/>
      <c r="BJ382" s="12"/>
      <c r="BK382" s="12"/>
      <c r="BL382" s="12"/>
      <c r="BM382" s="12"/>
      <c r="BN382" s="12"/>
      <c r="BO382" s="12"/>
      <c r="BP382" s="12"/>
      <c r="BQ382" s="12"/>
      <c r="BR382" s="12"/>
      <c r="BS382" s="12"/>
      <c r="BT382" s="12"/>
      <c r="BU382" s="12"/>
      <c r="BV382" s="12"/>
      <c r="BW382" s="12"/>
      <c r="BX382" s="12"/>
      <c r="BY382" s="12"/>
      <c r="BZ382" s="12"/>
      <c r="CA382" s="12"/>
    </row>
    <row r="383" spans="1:79" x14ac:dyDescent="0.3">
      <c r="A383" s="8">
        <v>3</v>
      </c>
      <c r="B383" s="8" t="s">
        <v>957</v>
      </c>
      <c r="C383" s="8">
        <v>1</v>
      </c>
      <c r="D383" s="8">
        <v>424</v>
      </c>
      <c r="E383" s="8" t="s">
        <v>951</v>
      </c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12"/>
      <c r="AW383" s="12"/>
      <c r="AX383" s="12"/>
      <c r="AY383" s="12"/>
      <c r="AZ383" s="12"/>
      <c r="BA383" s="12"/>
      <c r="BB383" s="12"/>
      <c r="BC383" s="12"/>
      <c r="BD383" s="12"/>
      <c r="BE383" s="12"/>
      <c r="BF383" s="12"/>
      <c r="BG383" s="12"/>
      <c r="BH383" s="12"/>
      <c r="BI383" s="12"/>
      <c r="BJ383" s="12"/>
      <c r="BK383" s="12"/>
      <c r="BL383" s="12"/>
      <c r="BM383" s="12"/>
      <c r="BN383" s="12"/>
      <c r="BO383" s="12"/>
      <c r="BP383" s="12"/>
      <c r="BQ383" s="12"/>
      <c r="BR383" s="12"/>
      <c r="BS383" s="12"/>
      <c r="BT383" s="12"/>
      <c r="BU383" s="12"/>
      <c r="BV383" s="12"/>
      <c r="BW383" s="12"/>
      <c r="BX383" s="12"/>
      <c r="BY383" s="12"/>
      <c r="BZ383" s="12"/>
      <c r="CA383" s="12"/>
    </row>
    <row r="384" spans="1:79" x14ac:dyDescent="0.3">
      <c r="A384" s="8">
        <v>3</v>
      </c>
      <c r="B384" s="8" t="s">
        <v>957</v>
      </c>
      <c r="C384" s="8">
        <v>1</v>
      </c>
      <c r="D384" s="8">
        <v>425</v>
      </c>
      <c r="E384" s="8" t="s">
        <v>950</v>
      </c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12"/>
      <c r="AW384" s="12"/>
      <c r="AX384" s="12"/>
      <c r="AY384" s="12"/>
      <c r="AZ384" s="12"/>
      <c r="BA384" s="12"/>
      <c r="BB384" s="12"/>
      <c r="BC384" s="12"/>
      <c r="BD384" s="12"/>
      <c r="BE384" s="12"/>
      <c r="BF384" s="12"/>
      <c r="BG384" s="12"/>
      <c r="BH384" s="12"/>
      <c r="BI384" s="12"/>
      <c r="BJ384" s="12"/>
      <c r="BK384" s="12"/>
      <c r="BL384" s="12"/>
      <c r="BM384" s="12"/>
      <c r="BN384" s="12"/>
      <c r="BO384" s="12"/>
      <c r="BP384" s="12"/>
      <c r="BQ384" s="12"/>
      <c r="BR384" s="12"/>
      <c r="BS384" s="12"/>
      <c r="BT384" s="12"/>
      <c r="BU384" s="12"/>
      <c r="BV384" s="12"/>
      <c r="BW384" s="12"/>
      <c r="BX384" s="12"/>
      <c r="BY384" s="12"/>
      <c r="BZ384" s="12"/>
      <c r="CA384" s="12"/>
    </row>
    <row r="385" spans="1:79" x14ac:dyDescent="0.3">
      <c r="A385" s="8">
        <v>3</v>
      </c>
      <c r="B385" s="8" t="s">
        <v>957</v>
      </c>
      <c r="C385" s="8">
        <v>1</v>
      </c>
      <c r="D385" s="8">
        <v>426</v>
      </c>
      <c r="E385" s="8" t="s">
        <v>951</v>
      </c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12"/>
      <c r="AW385" s="12"/>
      <c r="AX385" s="12"/>
      <c r="AY385" s="12"/>
      <c r="AZ385" s="12"/>
      <c r="BA385" s="12"/>
      <c r="BB385" s="12"/>
      <c r="BC385" s="12"/>
      <c r="BD385" s="12"/>
      <c r="BE385" s="12"/>
      <c r="BF385" s="12"/>
      <c r="BG385" s="12"/>
      <c r="BH385" s="12"/>
      <c r="BI385" s="12"/>
      <c r="BJ385" s="12"/>
      <c r="BK385" s="12"/>
      <c r="BL385" s="12"/>
      <c r="BM385" s="12"/>
      <c r="BN385" s="12"/>
      <c r="BO385" s="12"/>
      <c r="BP385" s="12"/>
      <c r="BQ385" s="12"/>
      <c r="BR385" s="12"/>
      <c r="BS385" s="12"/>
      <c r="BT385" s="12"/>
      <c r="BU385" s="12"/>
      <c r="BV385" s="12"/>
      <c r="BW385" s="12"/>
      <c r="BX385" s="12"/>
      <c r="BY385" s="12"/>
      <c r="BZ385" s="12"/>
      <c r="CA385" s="12"/>
    </row>
    <row r="386" spans="1:79" x14ac:dyDescent="0.3">
      <c r="A386" s="8">
        <v>3</v>
      </c>
      <c r="B386" s="8" t="s">
        <v>957</v>
      </c>
      <c r="C386" s="8">
        <v>1</v>
      </c>
      <c r="D386" s="8">
        <v>427</v>
      </c>
      <c r="E386" s="8" t="s">
        <v>950</v>
      </c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12"/>
      <c r="AW386" s="12"/>
      <c r="AX386" s="12"/>
      <c r="AY386" s="12"/>
      <c r="AZ386" s="12"/>
      <c r="BA386" s="12"/>
      <c r="BB386" s="12"/>
      <c r="BC386" s="12"/>
      <c r="BD386" s="12"/>
      <c r="BE386" s="12"/>
      <c r="BF386" s="12"/>
      <c r="BG386" s="12"/>
      <c r="BH386" s="12"/>
      <c r="BI386" s="12"/>
      <c r="BJ386" s="12"/>
      <c r="BK386" s="12"/>
      <c r="BL386" s="12"/>
      <c r="BM386" s="12"/>
      <c r="BN386" s="12"/>
      <c r="BO386" s="12"/>
      <c r="BP386" s="12"/>
      <c r="BQ386" s="12"/>
      <c r="BR386" s="12"/>
      <c r="BS386" s="12"/>
      <c r="BT386" s="12"/>
      <c r="BU386" s="12"/>
      <c r="BV386" s="12"/>
      <c r="BW386" s="12"/>
      <c r="BX386" s="12"/>
      <c r="BY386" s="12"/>
      <c r="BZ386" s="12"/>
      <c r="CA386" s="12"/>
    </row>
    <row r="387" spans="1:79" x14ac:dyDescent="0.3">
      <c r="A387" s="8">
        <v>3</v>
      </c>
      <c r="B387" s="8" t="s">
        <v>957</v>
      </c>
      <c r="C387" s="8">
        <v>1</v>
      </c>
      <c r="D387" s="8">
        <v>428</v>
      </c>
      <c r="E387" s="8" t="s">
        <v>951</v>
      </c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12"/>
      <c r="AW387" s="12"/>
      <c r="AX387" s="12"/>
      <c r="AY387" s="12"/>
      <c r="AZ387" s="12"/>
      <c r="BA387" s="12"/>
      <c r="BB387" s="12"/>
      <c r="BC387" s="12"/>
      <c r="BD387" s="12"/>
      <c r="BE387" s="12"/>
      <c r="BF387" s="12"/>
      <c r="BG387" s="12"/>
      <c r="BH387" s="12"/>
      <c r="BI387" s="12"/>
      <c r="BJ387" s="12"/>
      <c r="BK387" s="12"/>
      <c r="BL387" s="12"/>
      <c r="BM387" s="12"/>
      <c r="BN387" s="12"/>
      <c r="BO387" s="12"/>
      <c r="BP387" s="12"/>
      <c r="BQ387" s="12"/>
      <c r="BR387" s="12"/>
      <c r="BS387" s="12"/>
      <c r="BT387" s="12"/>
      <c r="BU387" s="12"/>
      <c r="BV387" s="12"/>
      <c r="BW387" s="12"/>
      <c r="BX387" s="12"/>
      <c r="BY387" s="12"/>
      <c r="BZ387" s="12"/>
      <c r="CA387" s="12"/>
    </row>
    <row r="388" spans="1:79" x14ac:dyDescent="0.3">
      <c r="A388" s="8">
        <v>3</v>
      </c>
      <c r="B388" s="8" t="s">
        <v>957</v>
      </c>
      <c r="C388" s="8">
        <v>1</v>
      </c>
      <c r="D388" s="8">
        <v>429</v>
      </c>
      <c r="E388" s="8" t="s">
        <v>950</v>
      </c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12"/>
      <c r="AW388" s="12"/>
      <c r="AX388" s="12"/>
      <c r="AY388" s="12"/>
      <c r="AZ388" s="12"/>
      <c r="BA388" s="12"/>
      <c r="BB388" s="12"/>
      <c r="BC388" s="12"/>
      <c r="BD388" s="12"/>
      <c r="BE388" s="12"/>
      <c r="BF388" s="12"/>
      <c r="BG388" s="12"/>
      <c r="BH388" s="12"/>
      <c r="BI388" s="12"/>
      <c r="BJ388" s="12"/>
      <c r="BK388" s="12"/>
      <c r="BL388" s="12"/>
      <c r="BM388" s="12"/>
      <c r="BN388" s="12"/>
      <c r="BO388" s="12"/>
      <c r="BP388" s="12"/>
      <c r="BQ388" s="12"/>
      <c r="BR388" s="12"/>
      <c r="BS388" s="12"/>
      <c r="BT388" s="12"/>
      <c r="BU388" s="12"/>
      <c r="BV388" s="12"/>
      <c r="BW388" s="12"/>
      <c r="BX388" s="12"/>
      <c r="BY388" s="12"/>
      <c r="BZ388" s="12"/>
      <c r="CA388" s="12"/>
    </row>
    <row r="389" spans="1:79" x14ac:dyDescent="0.3">
      <c r="A389" s="8">
        <v>3</v>
      </c>
      <c r="B389" s="8" t="s">
        <v>957</v>
      </c>
      <c r="C389" s="8">
        <v>1</v>
      </c>
      <c r="D389" s="8">
        <v>430</v>
      </c>
      <c r="E389" s="8" t="s">
        <v>951</v>
      </c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12"/>
      <c r="AW389" s="12"/>
      <c r="AX389" s="12"/>
      <c r="AY389" s="12"/>
      <c r="AZ389" s="12"/>
      <c r="BA389" s="12"/>
      <c r="BB389" s="12"/>
      <c r="BC389" s="12"/>
      <c r="BD389" s="12"/>
      <c r="BE389" s="12"/>
      <c r="BF389" s="12"/>
      <c r="BG389" s="12"/>
      <c r="BH389" s="12"/>
      <c r="BI389" s="12"/>
      <c r="BJ389" s="12"/>
      <c r="BK389" s="12"/>
      <c r="BL389" s="12"/>
      <c r="BM389" s="12"/>
      <c r="BN389" s="12"/>
      <c r="BO389" s="12"/>
      <c r="BP389" s="12"/>
      <c r="BQ389" s="12"/>
      <c r="BR389" s="12"/>
      <c r="BS389" s="12"/>
      <c r="BT389" s="12"/>
      <c r="BU389" s="12"/>
      <c r="BV389" s="12"/>
      <c r="BW389" s="12"/>
      <c r="BX389" s="12"/>
      <c r="BY389" s="12"/>
      <c r="BZ389" s="12"/>
      <c r="CA389" s="12"/>
    </row>
    <row r="390" spans="1:79" x14ac:dyDescent="0.3">
      <c r="A390" s="8">
        <v>3</v>
      </c>
      <c r="B390" s="8" t="s">
        <v>957</v>
      </c>
      <c r="C390" s="8">
        <v>1</v>
      </c>
      <c r="D390" s="8">
        <v>431</v>
      </c>
      <c r="E390" s="8" t="s">
        <v>950</v>
      </c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12"/>
      <c r="AW390" s="12"/>
      <c r="AX390" s="12"/>
      <c r="AY390" s="12"/>
      <c r="AZ390" s="12"/>
      <c r="BA390" s="12"/>
      <c r="BB390" s="12"/>
      <c r="BC390" s="12"/>
      <c r="BD390" s="12"/>
      <c r="BE390" s="12"/>
      <c r="BF390" s="12"/>
      <c r="BG390" s="12"/>
      <c r="BH390" s="12"/>
      <c r="BI390" s="12"/>
      <c r="BJ390" s="12"/>
      <c r="BK390" s="12"/>
      <c r="BL390" s="12"/>
      <c r="BM390" s="12"/>
      <c r="BN390" s="12"/>
      <c r="BO390" s="12"/>
      <c r="BP390" s="12"/>
      <c r="BQ390" s="12"/>
      <c r="BR390" s="12"/>
      <c r="BS390" s="12"/>
      <c r="BT390" s="12"/>
      <c r="BU390" s="12"/>
      <c r="BV390" s="12"/>
      <c r="BW390" s="12"/>
      <c r="BX390" s="12"/>
      <c r="BY390" s="12"/>
      <c r="BZ390" s="12"/>
      <c r="CA390" s="12"/>
    </row>
    <row r="391" spans="1:79" x14ac:dyDescent="0.3">
      <c r="A391" s="8">
        <v>3</v>
      </c>
      <c r="B391" s="8" t="s">
        <v>957</v>
      </c>
      <c r="C391" s="8">
        <v>1</v>
      </c>
      <c r="D391" s="8">
        <v>432</v>
      </c>
      <c r="E391" s="8" t="s">
        <v>951</v>
      </c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12"/>
      <c r="AW391" s="12"/>
      <c r="AX391" s="12"/>
      <c r="AY391" s="12"/>
      <c r="AZ391" s="12"/>
      <c r="BA391" s="12"/>
      <c r="BB391" s="12"/>
      <c r="BC391" s="12"/>
      <c r="BD391" s="12"/>
      <c r="BE391" s="12"/>
      <c r="BF391" s="12"/>
      <c r="BG391" s="12"/>
      <c r="BH391" s="12"/>
      <c r="BI391" s="12"/>
      <c r="BJ391" s="12"/>
      <c r="BK391" s="12"/>
      <c r="BL391" s="12"/>
      <c r="BM391" s="12"/>
      <c r="BN391" s="12"/>
      <c r="BO391" s="12"/>
      <c r="BP391" s="12"/>
      <c r="BQ391" s="12"/>
      <c r="BR391" s="12"/>
      <c r="BS391" s="12"/>
      <c r="BT391" s="12"/>
      <c r="BU391" s="12"/>
      <c r="BV391" s="12"/>
      <c r="BW391" s="12"/>
      <c r="BX391" s="12"/>
      <c r="BY391" s="12"/>
      <c r="BZ391" s="12"/>
      <c r="CA391" s="12"/>
    </row>
    <row r="392" spans="1:79" x14ac:dyDescent="0.3">
      <c r="A392" s="8">
        <v>3</v>
      </c>
      <c r="B392" s="8" t="s">
        <v>957</v>
      </c>
      <c r="C392" s="8">
        <v>1</v>
      </c>
      <c r="D392" s="8">
        <v>433</v>
      </c>
      <c r="E392" s="8" t="s">
        <v>950</v>
      </c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12"/>
      <c r="AW392" s="12"/>
      <c r="AX392" s="12"/>
      <c r="AY392" s="12"/>
      <c r="AZ392" s="12"/>
      <c r="BA392" s="12"/>
      <c r="BB392" s="12"/>
      <c r="BC392" s="12"/>
      <c r="BD392" s="12"/>
      <c r="BE392" s="12"/>
      <c r="BF392" s="12"/>
      <c r="BG392" s="12"/>
      <c r="BH392" s="12"/>
      <c r="BI392" s="12"/>
      <c r="BJ392" s="12"/>
      <c r="BK392" s="12"/>
      <c r="BL392" s="12"/>
      <c r="BM392" s="12"/>
      <c r="BN392" s="12"/>
      <c r="BO392" s="12"/>
      <c r="BP392" s="12"/>
      <c r="BQ392" s="12"/>
      <c r="BR392" s="12"/>
      <c r="BS392" s="12"/>
      <c r="BT392" s="12"/>
      <c r="BU392" s="12"/>
      <c r="BV392" s="12"/>
      <c r="BW392" s="12"/>
      <c r="BX392" s="12"/>
      <c r="BY392" s="12"/>
      <c r="BZ392" s="12"/>
      <c r="CA392" s="12"/>
    </row>
    <row r="393" spans="1:79" x14ac:dyDescent="0.3">
      <c r="A393" s="8">
        <v>3</v>
      </c>
      <c r="B393" s="8" t="s">
        <v>957</v>
      </c>
      <c r="C393" s="8">
        <v>1</v>
      </c>
      <c r="D393" s="8">
        <v>434</v>
      </c>
      <c r="E393" s="8" t="s">
        <v>950</v>
      </c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12"/>
      <c r="AW393" s="12"/>
      <c r="AX393" s="12"/>
      <c r="AY393" s="12"/>
      <c r="AZ393" s="12"/>
      <c r="BA393" s="12"/>
      <c r="BB393" s="12"/>
      <c r="BC393" s="12"/>
      <c r="BD393" s="12"/>
      <c r="BE393" s="12"/>
      <c r="BF393" s="12"/>
      <c r="BG393" s="12"/>
      <c r="BH393" s="12"/>
      <c r="BI393" s="12"/>
      <c r="BJ393" s="12"/>
      <c r="BK393" s="12"/>
      <c r="BL393" s="12"/>
      <c r="BM393" s="12"/>
      <c r="BN393" s="12"/>
      <c r="BO393" s="12"/>
      <c r="BP393" s="12"/>
      <c r="BQ393" s="12"/>
      <c r="BR393" s="12"/>
      <c r="BS393" s="12"/>
      <c r="BT393" s="12"/>
      <c r="BU393" s="12"/>
      <c r="BV393" s="12"/>
      <c r="BW393" s="12"/>
      <c r="BX393" s="12"/>
      <c r="BY393" s="12"/>
      <c r="BZ393" s="12"/>
      <c r="CA393" s="12"/>
    </row>
    <row r="394" spans="1:79" x14ac:dyDescent="0.3">
      <c r="A394" s="8">
        <v>3</v>
      </c>
      <c r="B394" s="8" t="s">
        <v>957</v>
      </c>
      <c r="C394" s="8">
        <v>1</v>
      </c>
      <c r="D394" s="8">
        <v>435</v>
      </c>
      <c r="E394" s="8" t="s">
        <v>950</v>
      </c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12"/>
      <c r="AW394" s="12"/>
      <c r="AX394" s="12"/>
      <c r="AY394" s="12"/>
      <c r="AZ394" s="12"/>
      <c r="BA394" s="12"/>
      <c r="BB394" s="12"/>
      <c r="BC394" s="12"/>
      <c r="BD394" s="12"/>
      <c r="BE394" s="12"/>
      <c r="BF394" s="12"/>
      <c r="BG394" s="12"/>
      <c r="BH394" s="12"/>
      <c r="BI394" s="12"/>
      <c r="BJ394" s="12"/>
      <c r="BK394" s="12"/>
      <c r="BL394" s="12"/>
      <c r="BM394" s="12"/>
      <c r="BN394" s="12"/>
      <c r="BO394" s="12"/>
      <c r="BP394" s="12"/>
      <c r="BQ394" s="12"/>
      <c r="BR394" s="12"/>
      <c r="BS394" s="12"/>
      <c r="BT394" s="12"/>
      <c r="BU394" s="12"/>
      <c r="BV394" s="12"/>
      <c r="BW394" s="12"/>
      <c r="BX394" s="12"/>
      <c r="BY394" s="12"/>
      <c r="BZ394" s="12"/>
      <c r="CA394" s="12"/>
    </row>
    <row r="395" spans="1:79" x14ac:dyDescent="0.3">
      <c r="A395" s="8">
        <v>3</v>
      </c>
      <c r="B395" s="8" t="s">
        <v>957</v>
      </c>
      <c r="C395" s="8">
        <v>1</v>
      </c>
      <c r="D395" s="8">
        <v>436</v>
      </c>
      <c r="E395" s="8" t="s">
        <v>950</v>
      </c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12"/>
      <c r="AW395" s="12"/>
      <c r="AX395" s="12"/>
      <c r="AY395" s="12"/>
      <c r="AZ395" s="12"/>
      <c r="BA395" s="12"/>
      <c r="BB395" s="12"/>
      <c r="BC395" s="12"/>
      <c r="BD395" s="12"/>
      <c r="BE395" s="12"/>
      <c r="BF395" s="12"/>
      <c r="BG395" s="12"/>
      <c r="BH395" s="12"/>
      <c r="BI395" s="12"/>
      <c r="BJ395" s="12"/>
      <c r="BK395" s="12"/>
      <c r="BL395" s="12"/>
      <c r="BM395" s="12"/>
      <c r="BN395" s="12"/>
      <c r="BO395" s="12"/>
      <c r="BP395" s="12"/>
      <c r="BQ395" s="12"/>
      <c r="BR395" s="12"/>
      <c r="BS395" s="12"/>
      <c r="BT395" s="12"/>
      <c r="BU395" s="12"/>
      <c r="BV395" s="12"/>
      <c r="BW395" s="12"/>
      <c r="BX395" s="12"/>
      <c r="BY395" s="12"/>
      <c r="BZ395" s="12"/>
      <c r="CA395" s="12"/>
    </row>
    <row r="396" spans="1:79" x14ac:dyDescent="0.3">
      <c r="A396" s="8">
        <v>3</v>
      </c>
      <c r="B396" s="8" t="s">
        <v>957</v>
      </c>
      <c r="C396" s="8">
        <v>1</v>
      </c>
      <c r="D396" s="8">
        <v>437</v>
      </c>
      <c r="E396" s="8" t="s">
        <v>951</v>
      </c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12"/>
      <c r="AW396" s="12"/>
      <c r="AX396" s="12"/>
      <c r="AY396" s="12"/>
      <c r="AZ396" s="12"/>
      <c r="BA396" s="12"/>
      <c r="BB396" s="12"/>
      <c r="BC396" s="12"/>
      <c r="BD396" s="12"/>
      <c r="BE396" s="12"/>
      <c r="BF396" s="12"/>
      <c r="BG396" s="12"/>
      <c r="BH396" s="12"/>
      <c r="BI396" s="12"/>
      <c r="BJ396" s="12"/>
      <c r="BK396" s="12"/>
      <c r="BL396" s="12"/>
      <c r="BM396" s="12"/>
      <c r="BN396" s="12"/>
      <c r="BO396" s="12"/>
      <c r="BP396" s="12"/>
      <c r="BQ396" s="12"/>
      <c r="BR396" s="12"/>
      <c r="BS396" s="12"/>
      <c r="BT396" s="12"/>
      <c r="BU396" s="12"/>
      <c r="BV396" s="12"/>
      <c r="BW396" s="12"/>
      <c r="BX396" s="12"/>
      <c r="BY396" s="12"/>
      <c r="BZ396" s="12"/>
      <c r="CA396" s="12"/>
    </row>
    <row r="397" spans="1:79" x14ac:dyDescent="0.3">
      <c r="A397" s="8">
        <v>3</v>
      </c>
      <c r="B397" s="8" t="s">
        <v>957</v>
      </c>
      <c r="C397" s="8">
        <v>1</v>
      </c>
      <c r="D397" s="8">
        <v>438</v>
      </c>
      <c r="E397" s="8" t="s">
        <v>951</v>
      </c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12"/>
      <c r="AW397" s="12"/>
      <c r="AX397" s="12"/>
      <c r="AY397" s="12"/>
      <c r="AZ397" s="12"/>
      <c r="BA397" s="12"/>
      <c r="BB397" s="12"/>
      <c r="BC397" s="12"/>
      <c r="BD397" s="12"/>
      <c r="BE397" s="12"/>
      <c r="BF397" s="12"/>
      <c r="BG397" s="12"/>
      <c r="BH397" s="12"/>
      <c r="BI397" s="12"/>
      <c r="BJ397" s="12"/>
      <c r="BK397" s="12"/>
      <c r="BL397" s="12"/>
      <c r="BM397" s="12"/>
      <c r="BN397" s="12"/>
      <c r="BO397" s="12"/>
      <c r="BP397" s="12"/>
      <c r="BQ397" s="12"/>
      <c r="BR397" s="12"/>
      <c r="BS397" s="12"/>
      <c r="BT397" s="12"/>
      <c r="BU397" s="12"/>
      <c r="BV397" s="12"/>
      <c r="BW397" s="12"/>
      <c r="BX397" s="12"/>
      <c r="BY397" s="12"/>
      <c r="BZ397" s="12"/>
      <c r="CA397" s="12"/>
    </row>
    <row r="398" spans="1:79" x14ac:dyDescent="0.3">
      <c r="A398" s="8">
        <v>3</v>
      </c>
      <c r="B398" s="8" t="s">
        <v>957</v>
      </c>
      <c r="C398" s="8">
        <v>1</v>
      </c>
      <c r="D398" s="8">
        <v>439</v>
      </c>
      <c r="E398" s="8" t="s">
        <v>951</v>
      </c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12"/>
      <c r="AW398" s="12"/>
      <c r="AX398" s="12"/>
      <c r="AY398" s="12"/>
      <c r="AZ398" s="12"/>
      <c r="BA398" s="12"/>
      <c r="BB398" s="12"/>
      <c r="BC398" s="12"/>
      <c r="BD398" s="12"/>
      <c r="BE398" s="12"/>
      <c r="BF398" s="12"/>
      <c r="BG398" s="12"/>
      <c r="BH398" s="12"/>
      <c r="BI398" s="12"/>
      <c r="BJ398" s="12"/>
      <c r="BK398" s="12"/>
      <c r="BL398" s="12"/>
      <c r="BM398" s="12"/>
      <c r="BN398" s="12"/>
      <c r="BO398" s="12"/>
      <c r="BP398" s="12"/>
      <c r="BQ398" s="12"/>
      <c r="BR398" s="12"/>
      <c r="BS398" s="12"/>
      <c r="BT398" s="12"/>
      <c r="BU398" s="12"/>
      <c r="BV398" s="12"/>
      <c r="BW398" s="12"/>
      <c r="BX398" s="12"/>
      <c r="BY398" s="12"/>
      <c r="BZ398" s="12"/>
      <c r="CA398" s="12"/>
    </row>
    <row r="399" spans="1:79" x14ac:dyDescent="0.3">
      <c r="A399" s="8">
        <v>1</v>
      </c>
      <c r="B399" s="8" t="s">
        <v>957</v>
      </c>
      <c r="C399" s="8">
        <v>1</v>
      </c>
      <c r="D399" s="8">
        <v>440</v>
      </c>
      <c r="E399" s="8" t="s">
        <v>950</v>
      </c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12"/>
      <c r="AW399" s="12"/>
      <c r="AX399" s="12"/>
      <c r="AY399" s="12"/>
      <c r="AZ399" s="12"/>
      <c r="BA399" s="12"/>
      <c r="BB399" s="12"/>
      <c r="BC399" s="12"/>
      <c r="BD399" s="12"/>
      <c r="BE399" s="12"/>
      <c r="BF399" s="12"/>
      <c r="BG399" s="12"/>
      <c r="BH399" s="12"/>
      <c r="BI399" s="12"/>
      <c r="BJ399" s="12"/>
      <c r="BK399" s="12"/>
      <c r="BL399" s="12"/>
      <c r="BM399" s="12"/>
      <c r="BN399" s="12"/>
      <c r="BO399" s="12"/>
      <c r="BP399" s="12"/>
      <c r="BQ399" s="12"/>
      <c r="BR399" s="12"/>
      <c r="BS399" s="12"/>
      <c r="BT399" s="12"/>
      <c r="BU399" s="12"/>
      <c r="BV399" s="12"/>
      <c r="BW399" s="12"/>
      <c r="BX399" s="12"/>
      <c r="BY399" s="12"/>
      <c r="BZ399" s="12"/>
      <c r="CA399" s="12"/>
    </row>
    <row r="400" spans="1:79" x14ac:dyDescent="0.3">
      <c r="A400" s="8">
        <v>1</v>
      </c>
      <c r="B400" s="8" t="s">
        <v>957</v>
      </c>
      <c r="C400" s="8">
        <v>1</v>
      </c>
      <c r="D400" s="8">
        <v>441</v>
      </c>
      <c r="E400" s="8" t="s">
        <v>950</v>
      </c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12"/>
      <c r="AW400" s="12"/>
      <c r="AX400" s="12"/>
      <c r="AY400" s="12"/>
      <c r="AZ400" s="12"/>
      <c r="BA400" s="12"/>
      <c r="BB400" s="12"/>
      <c r="BC400" s="12"/>
      <c r="BD400" s="12"/>
      <c r="BE400" s="12"/>
      <c r="BF400" s="12"/>
      <c r="BG400" s="12"/>
      <c r="BH400" s="12"/>
      <c r="BI400" s="12"/>
      <c r="BJ400" s="12"/>
      <c r="BK400" s="12"/>
      <c r="BL400" s="12"/>
      <c r="BM400" s="12"/>
      <c r="BN400" s="12"/>
      <c r="BO400" s="12"/>
      <c r="BP400" s="12"/>
      <c r="BQ400" s="12"/>
      <c r="BR400" s="12"/>
      <c r="BS400" s="12"/>
      <c r="BT400" s="12"/>
      <c r="BU400" s="12"/>
      <c r="BV400" s="12"/>
      <c r="BW400" s="12"/>
      <c r="BX400" s="12"/>
      <c r="BY400" s="12"/>
      <c r="BZ400" s="12"/>
      <c r="CA400" s="12"/>
    </row>
    <row r="401" spans="1:79" x14ac:dyDescent="0.3">
      <c r="A401" s="8">
        <v>1</v>
      </c>
      <c r="B401" s="8" t="s">
        <v>958</v>
      </c>
      <c r="C401" s="8">
        <v>4</v>
      </c>
      <c r="D401" s="8">
        <v>442</v>
      </c>
      <c r="E401" s="8" t="s">
        <v>950</v>
      </c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12"/>
      <c r="AW401" s="12"/>
      <c r="AX401" s="12"/>
      <c r="AY401" s="12"/>
      <c r="AZ401" s="12"/>
      <c r="BA401" s="12"/>
      <c r="BB401" s="12"/>
      <c r="BC401" s="12"/>
      <c r="BD401" s="12"/>
      <c r="BE401" s="12"/>
      <c r="BF401" s="12"/>
      <c r="BG401" s="12"/>
      <c r="BH401" s="12"/>
      <c r="BI401" s="12"/>
      <c r="BJ401" s="12"/>
      <c r="BK401" s="12"/>
      <c r="BL401" s="12"/>
      <c r="BM401" s="12"/>
      <c r="BN401" s="12"/>
      <c r="BO401" s="12"/>
      <c r="BP401" s="12"/>
      <c r="BQ401" s="12"/>
      <c r="BR401" s="12"/>
      <c r="BS401" s="12"/>
      <c r="BT401" s="12"/>
      <c r="BU401" s="12"/>
      <c r="BV401" s="12"/>
      <c r="BW401" s="12"/>
      <c r="BX401" s="12"/>
      <c r="BY401" s="12"/>
      <c r="BZ401" s="12"/>
      <c r="CA401" s="12"/>
    </row>
    <row r="402" spans="1:79" x14ac:dyDescent="0.3">
      <c r="A402" s="8">
        <v>1</v>
      </c>
      <c r="B402" s="8" t="s">
        <v>958</v>
      </c>
      <c r="C402" s="8">
        <v>4</v>
      </c>
      <c r="D402" s="8">
        <v>443</v>
      </c>
      <c r="E402" s="8" t="s">
        <v>951</v>
      </c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12"/>
      <c r="AW402" s="12"/>
      <c r="AX402" s="12"/>
      <c r="AY402" s="12"/>
      <c r="AZ402" s="12"/>
      <c r="BA402" s="12"/>
      <c r="BB402" s="12"/>
      <c r="BC402" s="12"/>
      <c r="BD402" s="12"/>
      <c r="BE402" s="12"/>
      <c r="BF402" s="12"/>
      <c r="BG402" s="12"/>
      <c r="BH402" s="12"/>
      <c r="BI402" s="12"/>
      <c r="BJ402" s="12"/>
      <c r="BK402" s="12"/>
      <c r="BL402" s="12"/>
      <c r="BM402" s="12"/>
      <c r="BN402" s="12"/>
      <c r="BO402" s="12"/>
      <c r="BP402" s="12"/>
      <c r="BQ402" s="12"/>
      <c r="BR402" s="12"/>
      <c r="BS402" s="12"/>
      <c r="BT402" s="12"/>
      <c r="BU402" s="12"/>
      <c r="BV402" s="12"/>
      <c r="BW402" s="12"/>
      <c r="BX402" s="12"/>
      <c r="BY402" s="12"/>
      <c r="BZ402" s="12"/>
      <c r="CA402" s="12"/>
    </row>
    <row r="403" spans="1:79" x14ac:dyDescent="0.3">
      <c r="A403" s="8">
        <v>1</v>
      </c>
      <c r="B403" s="8" t="s">
        <v>958</v>
      </c>
      <c r="C403" s="8">
        <v>4</v>
      </c>
      <c r="D403" s="8">
        <v>444</v>
      </c>
      <c r="E403" s="8" t="s">
        <v>950</v>
      </c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12"/>
      <c r="AW403" s="12"/>
      <c r="AX403" s="12"/>
      <c r="AY403" s="12"/>
      <c r="AZ403" s="12"/>
      <c r="BA403" s="12"/>
      <c r="BB403" s="12"/>
      <c r="BC403" s="12"/>
      <c r="BD403" s="12"/>
      <c r="BE403" s="12"/>
      <c r="BF403" s="12"/>
      <c r="BG403" s="12"/>
      <c r="BH403" s="12"/>
      <c r="BI403" s="12"/>
      <c r="BJ403" s="12"/>
      <c r="BK403" s="12"/>
      <c r="BL403" s="12"/>
      <c r="BM403" s="12"/>
      <c r="BN403" s="12"/>
      <c r="BO403" s="12"/>
      <c r="BP403" s="12"/>
      <c r="BQ403" s="12"/>
      <c r="BR403" s="12"/>
      <c r="BS403" s="12"/>
      <c r="BT403" s="12"/>
      <c r="BU403" s="12"/>
      <c r="BV403" s="12"/>
      <c r="BW403" s="12"/>
      <c r="BX403" s="12"/>
      <c r="BY403" s="12"/>
      <c r="BZ403" s="12"/>
      <c r="CA403" s="12"/>
    </row>
    <row r="404" spans="1:79" x14ac:dyDescent="0.3">
      <c r="A404" s="8">
        <v>1</v>
      </c>
      <c r="B404" s="8" t="s">
        <v>958</v>
      </c>
      <c r="C404" s="8">
        <v>4</v>
      </c>
      <c r="D404" s="8">
        <v>445</v>
      </c>
      <c r="E404" s="8" t="s">
        <v>950</v>
      </c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12"/>
      <c r="AW404" s="12"/>
      <c r="AX404" s="12"/>
      <c r="AY404" s="12"/>
      <c r="AZ404" s="12"/>
      <c r="BA404" s="12"/>
      <c r="BB404" s="12"/>
      <c r="BC404" s="12"/>
      <c r="BD404" s="12"/>
      <c r="BE404" s="12"/>
      <c r="BF404" s="12"/>
      <c r="BG404" s="12"/>
      <c r="BH404" s="12"/>
      <c r="BI404" s="12"/>
      <c r="BJ404" s="12"/>
      <c r="BK404" s="12"/>
      <c r="BL404" s="12"/>
      <c r="BM404" s="12"/>
      <c r="BN404" s="12"/>
      <c r="BO404" s="12"/>
      <c r="BP404" s="12"/>
      <c r="BQ404" s="12"/>
      <c r="BR404" s="12"/>
      <c r="BS404" s="12"/>
      <c r="BT404" s="12"/>
      <c r="BU404" s="12"/>
      <c r="BV404" s="12"/>
      <c r="BW404" s="12"/>
      <c r="BX404" s="12"/>
      <c r="BY404" s="12"/>
      <c r="BZ404" s="12"/>
      <c r="CA404" s="12"/>
    </row>
    <row r="405" spans="1:79" x14ac:dyDescent="0.3">
      <c r="A405" s="8">
        <v>1</v>
      </c>
      <c r="B405" s="8" t="s">
        <v>958</v>
      </c>
      <c r="C405" s="8">
        <v>4</v>
      </c>
      <c r="D405" s="8">
        <v>446</v>
      </c>
      <c r="E405" s="8" t="s">
        <v>950</v>
      </c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12"/>
      <c r="AW405" s="12"/>
      <c r="AX405" s="12"/>
      <c r="AY405" s="12"/>
      <c r="AZ405" s="12"/>
      <c r="BA405" s="12"/>
      <c r="BB405" s="12"/>
      <c r="BC405" s="12"/>
      <c r="BD405" s="12"/>
      <c r="BE405" s="12"/>
      <c r="BF405" s="12"/>
      <c r="BG405" s="12"/>
      <c r="BH405" s="12"/>
      <c r="BI405" s="12"/>
      <c r="BJ405" s="12"/>
      <c r="BK405" s="12"/>
      <c r="BL405" s="12"/>
      <c r="BM405" s="12"/>
      <c r="BN405" s="12"/>
      <c r="BO405" s="12"/>
      <c r="BP405" s="12"/>
      <c r="BQ405" s="12"/>
      <c r="BR405" s="12"/>
      <c r="BS405" s="12"/>
      <c r="BT405" s="12"/>
      <c r="BU405" s="12"/>
      <c r="BV405" s="12"/>
      <c r="BW405" s="12"/>
      <c r="BX405" s="12"/>
      <c r="BY405" s="12"/>
      <c r="BZ405" s="12"/>
      <c r="CA405" s="12"/>
    </row>
    <row r="406" spans="1:79" x14ac:dyDescent="0.3">
      <c r="A406" s="8">
        <v>1</v>
      </c>
      <c r="B406" s="8" t="s">
        <v>958</v>
      </c>
      <c r="C406" s="8">
        <v>4</v>
      </c>
      <c r="D406" s="8">
        <v>447</v>
      </c>
      <c r="E406" s="8" t="s">
        <v>950</v>
      </c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12"/>
      <c r="AW406" s="12"/>
      <c r="AX406" s="12"/>
      <c r="AY406" s="12"/>
      <c r="AZ406" s="12"/>
      <c r="BA406" s="12"/>
      <c r="BB406" s="12"/>
      <c r="BC406" s="12"/>
      <c r="BD406" s="12"/>
      <c r="BE406" s="12"/>
      <c r="BF406" s="12"/>
      <c r="BG406" s="12"/>
      <c r="BH406" s="12"/>
      <c r="BI406" s="12"/>
      <c r="BJ406" s="12"/>
      <c r="BK406" s="12"/>
      <c r="BL406" s="12"/>
      <c r="BM406" s="12"/>
      <c r="BN406" s="12"/>
      <c r="BO406" s="12"/>
      <c r="BP406" s="12"/>
      <c r="BQ406" s="12"/>
      <c r="BR406" s="12"/>
      <c r="BS406" s="12"/>
      <c r="BT406" s="12"/>
      <c r="BU406" s="12"/>
      <c r="BV406" s="12"/>
      <c r="BW406" s="12"/>
      <c r="BX406" s="12"/>
      <c r="BY406" s="12"/>
      <c r="BZ406" s="12"/>
      <c r="CA406" s="12"/>
    </row>
    <row r="407" spans="1:79" x14ac:dyDescent="0.3">
      <c r="A407" s="8">
        <v>1</v>
      </c>
      <c r="B407" s="8" t="s">
        <v>958</v>
      </c>
      <c r="C407" s="8">
        <v>4</v>
      </c>
      <c r="D407" s="8">
        <v>448</v>
      </c>
      <c r="E407" s="8" t="s">
        <v>951</v>
      </c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12"/>
      <c r="AW407" s="12"/>
      <c r="AX407" s="12"/>
      <c r="AY407" s="12"/>
      <c r="AZ407" s="12"/>
      <c r="BA407" s="12"/>
      <c r="BB407" s="12"/>
      <c r="BC407" s="12"/>
      <c r="BD407" s="12"/>
      <c r="BE407" s="12"/>
      <c r="BF407" s="12"/>
      <c r="BG407" s="12"/>
      <c r="BH407" s="12"/>
      <c r="BI407" s="12"/>
      <c r="BJ407" s="12"/>
      <c r="BK407" s="12"/>
      <c r="BL407" s="12"/>
      <c r="BM407" s="12"/>
      <c r="BN407" s="12"/>
      <c r="BO407" s="12"/>
      <c r="BP407" s="12"/>
      <c r="BQ407" s="12"/>
      <c r="BR407" s="12"/>
      <c r="BS407" s="12"/>
      <c r="BT407" s="12"/>
      <c r="BU407" s="12"/>
      <c r="BV407" s="12"/>
      <c r="BW407" s="12"/>
      <c r="BX407" s="12"/>
      <c r="BY407" s="12"/>
      <c r="BZ407" s="12"/>
      <c r="CA407" s="12"/>
    </row>
    <row r="408" spans="1:79" x14ac:dyDescent="0.3">
      <c r="A408" s="8">
        <v>1</v>
      </c>
      <c r="B408" s="8" t="s">
        <v>958</v>
      </c>
      <c r="C408" s="8">
        <v>4</v>
      </c>
      <c r="D408" s="8">
        <v>449</v>
      </c>
      <c r="E408" s="8" t="s">
        <v>950</v>
      </c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12"/>
      <c r="AW408" s="12"/>
      <c r="AX408" s="12"/>
      <c r="AY408" s="12"/>
      <c r="AZ408" s="12"/>
      <c r="BA408" s="12"/>
      <c r="BB408" s="12"/>
      <c r="BC408" s="12"/>
      <c r="BD408" s="12"/>
      <c r="BE408" s="12"/>
      <c r="BF408" s="12"/>
      <c r="BG408" s="12"/>
      <c r="BH408" s="12"/>
      <c r="BI408" s="12"/>
      <c r="BJ408" s="12"/>
      <c r="BK408" s="12"/>
      <c r="BL408" s="12"/>
      <c r="BM408" s="12"/>
      <c r="BN408" s="12"/>
      <c r="BO408" s="12"/>
      <c r="BP408" s="12"/>
      <c r="BQ408" s="12"/>
      <c r="BR408" s="12"/>
      <c r="BS408" s="12"/>
      <c r="BT408" s="12"/>
      <c r="BU408" s="12"/>
      <c r="BV408" s="12"/>
      <c r="BW408" s="12"/>
      <c r="BX408" s="12"/>
      <c r="BY408" s="12"/>
      <c r="BZ408" s="12"/>
      <c r="CA408" s="12"/>
    </row>
    <row r="409" spans="1:79" x14ac:dyDescent="0.3">
      <c r="A409" s="8">
        <v>1</v>
      </c>
      <c r="B409" s="8" t="s">
        <v>958</v>
      </c>
      <c r="C409" s="8">
        <v>4</v>
      </c>
      <c r="D409" s="8">
        <v>450</v>
      </c>
      <c r="E409" s="8" t="s">
        <v>951</v>
      </c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12"/>
      <c r="AW409" s="12"/>
      <c r="AX409" s="12"/>
      <c r="AY409" s="12"/>
      <c r="AZ409" s="12"/>
      <c r="BA409" s="12"/>
      <c r="BB409" s="12"/>
      <c r="BC409" s="12"/>
      <c r="BD409" s="12"/>
      <c r="BE409" s="12"/>
      <c r="BF409" s="12"/>
      <c r="BG409" s="12"/>
      <c r="BH409" s="12"/>
      <c r="BI409" s="12"/>
      <c r="BJ409" s="12"/>
      <c r="BK409" s="12"/>
      <c r="BL409" s="12"/>
      <c r="BM409" s="12"/>
      <c r="BN409" s="12"/>
      <c r="BO409" s="12"/>
      <c r="BP409" s="12"/>
      <c r="BQ409" s="12"/>
      <c r="BR409" s="12"/>
      <c r="BS409" s="12"/>
      <c r="BT409" s="12"/>
      <c r="BU409" s="12"/>
      <c r="BV409" s="12"/>
      <c r="BW409" s="12"/>
      <c r="BX409" s="12"/>
      <c r="BY409" s="12"/>
      <c r="BZ409" s="12"/>
      <c r="CA409" s="12"/>
    </row>
    <row r="410" spans="1:79" x14ac:dyDescent="0.3">
      <c r="A410" s="8">
        <v>1</v>
      </c>
      <c r="B410" s="8" t="s">
        <v>958</v>
      </c>
      <c r="C410" s="8">
        <v>4</v>
      </c>
      <c r="D410" s="8">
        <v>451</v>
      </c>
      <c r="E410" s="8" t="s">
        <v>951</v>
      </c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12"/>
      <c r="AW410" s="12"/>
      <c r="AX410" s="12"/>
      <c r="AY410" s="12"/>
      <c r="AZ410" s="12"/>
      <c r="BA410" s="12"/>
      <c r="BB410" s="12"/>
      <c r="BC410" s="12"/>
      <c r="BD410" s="12"/>
      <c r="BE410" s="12"/>
      <c r="BF410" s="12"/>
      <c r="BG410" s="12"/>
      <c r="BH410" s="12"/>
      <c r="BI410" s="12"/>
      <c r="BJ410" s="12"/>
      <c r="BK410" s="12"/>
      <c r="BL410" s="12"/>
      <c r="BM410" s="12"/>
      <c r="BN410" s="12"/>
      <c r="BO410" s="12"/>
      <c r="BP410" s="12"/>
      <c r="BQ410" s="12"/>
      <c r="BR410" s="12"/>
      <c r="BS410" s="12"/>
      <c r="BT410" s="12"/>
      <c r="BU410" s="12"/>
      <c r="BV410" s="12"/>
      <c r="BW410" s="12"/>
      <c r="BX410" s="12"/>
      <c r="BY410" s="12"/>
      <c r="BZ410" s="12"/>
      <c r="CA410" s="12"/>
    </row>
    <row r="411" spans="1:79" x14ac:dyDescent="0.3">
      <c r="A411" s="8">
        <v>1</v>
      </c>
      <c r="B411" s="8" t="s">
        <v>958</v>
      </c>
      <c r="C411" s="8">
        <v>4</v>
      </c>
      <c r="D411" s="8">
        <v>452</v>
      </c>
      <c r="E411" s="8" t="s">
        <v>950</v>
      </c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12"/>
      <c r="AW411" s="12"/>
      <c r="AX411" s="12"/>
      <c r="AY411" s="12"/>
      <c r="AZ411" s="12"/>
      <c r="BA411" s="12"/>
      <c r="BB411" s="12"/>
      <c r="BC411" s="12"/>
      <c r="BD411" s="12"/>
      <c r="BE411" s="12"/>
      <c r="BF411" s="12"/>
      <c r="BG411" s="12"/>
      <c r="BH411" s="12"/>
      <c r="BI411" s="12"/>
      <c r="BJ411" s="12"/>
      <c r="BK411" s="12"/>
      <c r="BL411" s="12"/>
      <c r="BM411" s="12"/>
      <c r="BN411" s="12"/>
      <c r="BO411" s="12"/>
      <c r="BP411" s="12"/>
      <c r="BQ411" s="12"/>
      <c r="BR411" s="12"/>
      <c r="BS411" s="12"/>
      <c r="BT411" s="12"/>
      <c r="BU411" s="12"/>
      <c r="BV411" s="12"/>
      <c r="BW411" s="12"/>
      <c r="BX411" s="12"/>
      <c r="BY411" s="12"/>
      <c r="BZ411" s="12"/>
      <c r="CA411" s="12"/>
    </row>
    <row r="412" spans="1:79" x14ac:dyDescent="0.3">
      <c r="A412" s="8">
        <v>1</v>
      </c>
      <c r="B412" s="8" t="s">
        <v>958</v>
      </c>
      <c r="C412" s="8">
        <v>4</v>
      </c>
      <c r="D412" s="8">
        <v>453</v>
      </c>
      <c r="E412" s="8" t="s">
        <v>951</v>
      </c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12"/>
      <c r="AW412" s="12"/>
      <c r="AX412" s="12"/>
      <c r="AY412" s="12"/>
      <c r="AZ412" s="12"/>
      <c r="BA412" s="12"/>
      <c r="BB412" s="12"/>
      <c r="BC412" s="12"/>
      <c r="BD412" s="12"/>
      <c r="BE412" s="12"/>
      <c r="BF412" s="12"/>
      <c r="BG412" s="12"/>
      <c r="BH412" s="12"/>
      <c r="BI412" s="12"/>
      <c r="BJ412" s="12"/>
      <c r="BK412" s="12"/>
      <c r="BL412" s="12"/>
      <c r="BM412" s="12"/>
      <c r="BN412" s="12"/>
      <c r="BO412" s="12"/>
      <c r="BP412" s="12"/>
      <c r="BQ412" s="12"/>
      <c r="BR412" s="12"/>
      <c r="BS412" s="12"/>
      <c r="BT412" s="12"/>
      <c r="BU412" s="12"/>
      <c r="BV412" s="12"/>
      <c r="BW412" s="12"/>
      <c r="BX412" s="12"/>
      <c r="BY412" s="12"/>
      <c r="BZ412" s="12"/>
      <c r="CA412" s="12"/>
    </row>
    <row r="413" spans="1:79" x14ac:dyDescent="0.3">
      <c r="A413" s="8">
        <v>1</v>
      </c>
      <c r="B413" s="8" t="s">
        <v>958</v>
      </c>
      <c r="C413" s="8">
        <v>4</v>
      </c>
      <c r="D413" s="8">
        <v>454</v>
      </c>
      <c r="E413" s="8" t="s">
        <v>950</v>
      </c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12"/>
      <c r="AW413" s="12"/>
      <c r="AX413" s="12"/>
      <c r="AY413" s="12"/>
      <c r="AZ413" s="12"/>
      <c r="BA413" s="12"/>
      <c r="BB413" s="12"/>
      <c r="BC413" s="12"/>
      <c r="BD413" s="12"/>
      <c r="BE413" s="12"/>
      <c r="BF413" s="12"/>
      <c r="BG413" s="12"/>
      <c r="BH413" s="12"/>
      <c r="BI413" s="12"/>
      <c r="BJ413" s="12"/>
      <c r="BK413" s="12"/>
      <c r="BL413" s="12"/>
      <c r="BM413" s="12"/>
      <c r="BN413" s="12"/>
      <c r="BO413" s="12"/>
      <c r="BP413" s="12"/>
      <c r="BQ413" s="12"/>
      <c r="BR413" s="12"/>
      <c r="BS413" s="12"/>
      <c r="BT413" s="12"/>
      <c r="BU413" s="12"/>
      <c r="BV413" s="12"/>
      <c r="BW413" s="12"/>
      <c r="BX413" s="12"/>
      <c r="BY413" s="12"/>
      <c r="BZ413" s="12"/>
      <c r="CA413" s="12"/>
    </row>
    <row r="414" spans="1:79" x14ac:dyDescent="0.3">
      <c r="A414" s="8">
        <v>1</v>
      </c>
      <c r="B414" s="8" t="s">
        <v>958</v>
      </c>
      <c r="C414" s="8">
        <v>4</v>
      </c>
      <c r="D414" s="8">
        <v>455</v>
      </c>
      <c r="E414" s="8" t="s">
        <v>950</v>
      </c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12"/>
      <c r="AW414" s="12"/>
      <c r="AX414" s="12"/>
      <c r="AY414" s="12"/>
      <c r="AZ414" s="12"/>
      <c r="BA414" s="12"/>
      <c r="BB414" s="12"/>
      <c r="BC414" s="12"/>
      <c r="BD414" s="12"/>
      <c r="BE414" s="12"/>
      <c r="BF414" s="12"/>
      <c r="BG414" s="12"/>
      <c r="BH414" s="12"/>
      <c r="BI414" s="12"/>
      <c r="BJ414" s="12"/>
      <c r="BK414" s="12"/>
      <c r="BL414" s="12"/>
      <c r="BM414" s="12"/>
      <c r="BN414" s="12"/>
      <c r="BO414" s="12"/>
      <c r="BP414" s="12"/>
      <c r="BQ414" s="12"/>
      <c r="BR414" s="12"/>
      <c r="BS414" s="12"/>
      <c r="BT414" s="12"/>
      <c r="BU414" s="12"/>
      <c r="BV414" s="12"/>
      <c r="BW414" s="12"/>
      <c r="BX414" s="12"/>
      <c r="BY414" s="12"/>
      <c r="BZ414" s="12"/>
      <c r="CA414" s="12"/>
    </row>
    <row r="415" spans="1:79" x14ac:dyDescent="0.3">
      <c r="A415" s="8">
        <v>1</v>
      </c>
      <c r="B415" s="8" t="s">
        <v>958</v>
      </c>
      <c r="C415" s="8">
        <v>4</v>
      </c>
      <c r="D415" s="8">
        <v>456</v>
      </c>
      <c r="E415" s="8" t="s">
        <v>951</v>
      </c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12"/>
      <c r="AW415" s="12"/>
      <c r="AX415" s="12"/>
      <c r="AY415" s="12"/>
      <c r="AZ415" s="12"/>
      <c r="BA415" s="12"/>
      <c r="BB415" s="12"/>
      <c r="BC415" s="12"/>
      <c r="BD415" s="12"/>
      <c r="BE415" s="12"/>
      <c r="BF415" s="12"/>
      <c r="BG415" s="12"/>
      <c r="BH415" s="12"/>
      <c r="BI415" s="12"/>
      <c r="BJ415" s="12"/>
      <c r="BK415" s="12"/>
      <c r="BL415" s="12"/>
      <c r="BM415" s="12"/>
      <c r="BN415" s="12"/>
      <c r="BO415" s="12"/>
      <c r="BP415" s="12"/>
      <c r="BQ415" s="12"/>
      <c r="BR415" s="12"/>
      <c r="BS415" s="12"/>
      <c r="BT415" s="12"/>
      <c r="BU415" s="12"/>
      <c r="BV415" s="12"/>
      <c r="BW415" s="12"/>
      <c r="BX415" s="12"/>
      <c r="BY415" s="12"/>
      <c r="BZ415" s="12"/>
      <c r="CA415" s="12"/>
    </row>
    <row r="416" spans="1:79" x14ac:dyDescent="0.3">
      <c r="A416" s="8">
        <v>1</v>
      </c>
      <c r="B416" s="8" t="s">
        <v>958</v>
      </c>
      <c r="C416" s="8">
        <v>4</v>
      </c>
      <c r="D416" s="8">
        <v>457</v>
      </c>
      <c r="E416" s="8" t="s">
        <v>951</v>
      </c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12"/>
      <c r="AW416" s="12"/>
      <c r="AX416" s="12"/>
      <c r="AY416" s="12"/>
      <c r="AZ416" s="12"/>
      <c r="BA416" s="12"/>
      <c r="BB416" s="12"/>
      <c r="BC416" s="12"/>
      <c r="BD416" s="12"/>
      <c r="BE416" s="12"/>
      <c r="BF416" s="12"/>
      <c r="BG416" s="12"/>
      <c r="BH416" s="12"/>
      <c r="BI416" s="12"/>
      <c r="BJ416" s="12"/>
      <c r="BK416" s="12"/>
      <c r="BL416" s="12"/>
      <c r="BM416" s="12"/>
      <c r="BN416" s="12"/>
      <c r="BO416" s="12"/>
      <c r="BP416" s="12"/>
      <c r="BQ416" s="12"/>
      <c r="BR416" s="12"/>
      <c r="BS416" s="12"/>
      <c r="BT416" s="12"/>
      <c r="BU416" s="12"/>
      <c r="BV416" s="12"/>
      <c r="BW416" s="12"/>
      <c r="BX416" s="12"/>
      <c r="BY416" s="12"/>
      <c r="BZ416" s="12"/>
      <c r="CA416" s="12"/>
    </row>
    <row r="417" spans="1:79" x14ac:dyDescent="0.3">
      <c r="A417" s="8">
        <v>1</v>
      </c>
      <c r="B417" s="8" t="s">
        <v>958</v>
      </c>
      <c r="C417" s="8">
        <v>4</v>
      </c>
      <c r="D417" s="8">
        <v>458</v>
      </c>
      <c r="E417" s="8" t="s">
        <v>950</v>
      </c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12"/>
      <c r="AW417" s="12"/>
      <c r="AX417" s="12"/>
      <c r="AY417" s="12"/>
      <c r="AZ417" s="12"/>
      <c r="BA417" s="12"/>
      <c r="BB417" s="12"/>
      <c r="BC417" s="12"/>
      <c r="BD417" s="12"/>
      <c r="BE417" s="12"/>
      <c r="BF417" s="12"/>
      <c r="BG417" s="12"/>
      <c r="BH417" s="12"/>
      <c r="BI417" s="12"/>
      <c r="BJ417" s="12"/>
      <c r="BK417" s="12"/>
      <c r="BL417" s="12"/>
      <c r="BM417" s="12"/>
      <c r="BN417" s="12"/>
      <c r="BO417" s="12"/>
      <c r="BP417" s="12"/>
      <c r="BQ417" s="12"/>
      <c r="BR417" s="12"/>
      <c r="BS417" s="12"/>
      <c r="BT417" s="12"/>
      <c r="BU417" s="12"/>
      <c r="BV417" s="12"/>
      <c r="BW417" s="12"/>
      <c r="BX417" s="12"/>
      <c r="BY417" s="12"/>
      <c r="BZ417" s="12"/>
      <c r="CA417" s="12"/>
    </row>
    <row r="418" spans="1:79" x14ac:dyDescent="0.3">
      <c r="A418" s="8">
        <v>1</v>
      </c>
      <c r="B418" s="8" t="s">
        <v>958</v>
      </c>
      <c r="C418" s="8">
        <v>4</v>
      </c>
      <c r="D418" s="8">
        <v>459</v>
      </c>
      <c r="E418" s="8" t="s">
        <v>951</v>
      </c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12"/>
      <c r="AW418" s="12"/>
      <c r="AX418" s="12"/>
      <c r="AY418" s="12"/>
      <c r="AZ418" s="12"/>
      <c r="BA418" s="12"/>
      <c r="BB418" s="12"/>
      <c r="BC418" s="12"/>
      <c r="BD418" s="12"/>
      <c r="BE418" s="12"/>
      <c r="BF418" s="12"/>
      <c r="BG418" s="12"/>
      <c r="BH418" s="12"/>
      <c r="BI418" s="12"/>
      <c r="BJ418" s="12"/>
      <c r="BK418" s="12"/>
      <c r="BL418" s="12"/>
      <c r="BM418" s="12"/>
      <c r="BN418" s="12"/>
      <c r="BO418" s="12"/>
      <c r="BP418" s="12"/>
      <c r="BQ418" s="12"/>
      <c r="BR418" s="12"/>
      <c r="BS418" s="12"/>
      <c r="BT418" s="12"/>
      <c r="BU418" s="12"/>
      <c r="BV418" s="12"/>
      <c r="BW418" s="12"/>
      <c r="BX418" s="12"/>
      <c r="BY418" s="12"/>
      <c r="BZ418" s="12"/>
      <c r="CA418" s="12"/>
    </row>
    <row r="419" spans="1:79" x14ac:dyDescent="0.3">
      <c r="A419" s="8">
        <v>1</v>
      </c>
      <c r="B419" s="8" t="s">
        <v>958</v>
      </c>
      <c r="C419" s="8">
        <v>4</v>
      </c>
      <c r="D419" s="8">
        <v>460</v>
      </c>
      <c r="E419" s="8" t="s">
        <v>951</v>
      </c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12"/>
      <c r="AW419" s="12"/>
      <c r="AX419" s="12"/>
      <c r="AY419" s="12"/>
      <c r="AZ419" s="12"/>
      <c r="BA419" s="12"/>
      <c r="BB419" s="12"/>
      <c r="BC419" s="12"/>
      <c r="BD419" s="12"/>
      <c r="BE419" s="12"/>
      <c r="BF419" s="12"/>
      <c r="BG419" s="12"/>
      <c r="BH419" s="12"/>
      <c r="BI419" s="12"/>
      <c r="BJ419" s="12"/>
      <c r="BK419" s="12"/>
      <c r="BL419" s="12"/>
      <c r="BM419" s="12"/>
      <c r="BN419" s="12"/>
      <c r="BO419" s="12"/>
      <c r="BP419" s="12"/>
      <c r="BQ419" s="12"/>
      <c r="BR419" s="12"/>
      <c r="BS419" s="12"/>
      <c r="BT419" s="12"/>
      <c r="BU419" s="12"/>
      <c r="BV419" s="12"/>
      <c r="BW419" s="12"/>
      <c r="BX419" s="12"/>
      <c r="BY419" s="12"/>
      <c r="BZ419" s="12"/>
      <c r="CA419" s="12"/>
    </row>
    <row r="420" spans="1:79" x14ac:dyDescent="0.3">
      <c r="A420" s="8">
        <v>2</v>
      </c>
      <c r="B420" s="8" t="s">
        <v>958</v>
      </c>
      <c r="C420" s="8">
        <v>4</v>
      </c>
      <c r="D420" s="8">
        <v>461</v>
      </c>
      <c r="E420" s="8" t="s">
        <v>950</v>
      </c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12"/>
      <c r="AW420" s="12"/>
      <c r="AX420" s="12"/>
      <c r="AY420" s="12"/>
      <c r="AZ420" s="12"/>
      <c r="BA420" s="12"/>
      <c r="BB420" s="12"/>
      <c r="BC420" s="12"/>
      <c r="BD420" s="12"/>
      <c r="BE420" s="12"/>
      <c r="BF420" s="12"/>
      <c r="BG420" s="12"/>
      <c r="BH420" s="12"/>
      <c r="BI420" s="12"/>
      <c r="BJ420" s="12"/>
      <c r="BK420" s="12"/>
      <c r="BL420" s="12"/>
      <c r="BM420" s="12"/>
      <c r="BN420" s="12"/>
      <c r="BO420" s="12"/>
      <c r="BP420" s="12"/>
      <c r="BQ420" s="12"/>
      <c r="BR420" s="12"/>
      <c r="BS420" s="12"/>
      <c r="BT420" s="12"/>
      <c r="BU420" s="12"/>
      <c r="BV420" s="12"/>
      <c r="BW420" s="12"/>
      <c r="BX420" s="12"/>
      <c r="BY420" s="12"/>
      <c r="BZ420" s="12"/>
      <c r="CA420" s="12"/>
    </row>
    <row r="421" spans="1:79" x14ac:dyDescent="0.3">
      <c r="A421" s="8">
        <v>2</v>
      </c>
      <c r="B421" s="8" t="s">
        <v>958</v>
      </c>
      <c r="C421" s="8">
        <v>4</v>
      </c>
      <c r="D421" s="8">
        <v>462</v>
      </c>
      <c r="E421" s="8" t="s">
        <v>950</v>
      </c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12"/>
      <c r="AW421" s="12"/>
      <c r="AX421" s="12"/>
      <c r="AY421" s="12"/>
      <c r="AZ421" s="12"/>
      <c r="BA421" s="12"/>
      <c r="BB421" s="12"/>
      <c r="BC421" s="12"/>
      <c r="BD421" s="12"/>
      <c r="BE421" s="12"/>
      <c r="BF421" s="12"/>
      <c r="BG421" s="12"/>
      <c r="BH421" s="12"/>
      <c r="BI421" s="12"/>
      <c r="BJ421" s="12"/>
      <c r="BK421" s="12"/>
      <c r="BL421" s="12"/>
      <c r="BM421" s="12"/>
      <c r="BN421" s="12"/>
      <c r="BO421" s="12"/>
      <c r="BP421" s="12"/>
      <c r="BQ421" s="12"/>
      <c r="BR421" s="12"/>
      <c r="BS421" s="12"/>
      <c r="BT421" s="12"/>
      <c r="BU421" s="12"/>
      <c r="BV421" s="12"/>
      <c r="BW421" s="12"/>
      <c r="BX421" s="12"/>
      <c r="BY421" s="12"/>
      <c r="BZ421" s="12"/>
      <c r="CA421" s="12"/>
    </row>
    <row r="422" spans="1:79" x14ac:dyDescent="0.3">
      <c r="A422" s="8">
        <v>2</v>
      </c>
      <c r="B422" s="8" t="s">
        <v>958</v>
      </c>
      <c r="C422" s="8">
        <v>1</v>
      </c>
      <c r="D422" s="8">
        <v>463</v>
      </c>
      <c r="E422" s="8" t="s">
        <v>951</v>
      </c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12"/>
      <c r="AW422" s="12"/>
      <c r="AX422" s="12"/>
      <c r="AY422" s="12"/>
      <c r="AZ422" s="12"/>
      <c r="BA422" s="12"/>
      <c r="BB422" s="12"/>
      <c r="BC422" s="12"/>
      <c r="BD422" s="12"/>
      <c r="BE422" s="12"/>
      <c r="BF422" s="12"/>
      <c r="BG422" s="12"/>
      <c r="BH422" s="12"/>
      <c r="BI422" s="12"/>
      <c r="BJ422" s="12"/>
      <c r="BK422" s="12"/>
      <c r="BL422" s="12"/>
      <c r="BM422" s="12"/>
      <c r="BN422" s="12"/>
      <c r="BO422" s="12"/>
      <c r="BP422" s="12"/>
      <c r="BQ422" s="12"/>
      <c r="BR422" s="12"/>
      <c r="BS422" s="12"/>
      <c r="BT422" s="12"/>
      <c r="BU422" s="12"/>
      <c r="BV422" s="12"/>
      <c r="BW422" s="12"/>
      <c r="BX422" s="12"/>
      <c r="BY422" s="12"/>
      <c r="BZ422" s="12"/>
      <c r="CA422" s="12"/>
    </row>
    <row r="423" spans="1:79" x14ac:dyDescent="0.3">
      <c r="A423" s="8">
        <v>2</v>
      </c>
      <c r="B423" s="8" t="s">
        <v>958</v>
      </c>
      <c r="C423" s="8">
        <v>1</v>
      </c>
      <c r="D423" s="8">
        <v>464</v>
      </c>
      <c r="E423" s="8" t="s">
        <v>951</v>
      </c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12"/>
      <c r="AW423" s="12"/>
      <c r="AX423" s="12"/>
      <c r="AY423" s="12"/>
      <c r="AZ423" s="12"/>
      <c r="BA423" s="12"/>
      <c r="BB423" s="12"/>
      <c r="BC423" s="12"/>
      <c r="BD423" s="12"/>
      <c r="BE423" s="12"/>
      <c r="BF423" s="12"/>
      <c r="BG423" s="12"/>
      <c r="BH423" s="12"/>
      <c r="BI423" s="12"/>
      <c r="BJ423" s="12"/>
      <c r="BK423" s="12"/>
      <c r="BL423" s="12"/>
      <c r="BM423" s="12"/>
      <c r="BN423" s="12"/>
      <c r="BO423" s="12"/>
      <c r="BP423" s="12"/>
      <c r="BQ423" s="12"/>
      <c r="BR423" s="12"/>
      <c r="BS423" s="12"/>
      <c r="BT423" s="12"/>
      <c r="BU423" s="12"/>
      <c r="BV423" s="12"/>
      <c r="BW423" s="12"/>
      <c r="BX423" s="12"/>
      <c r="BY423" s="12"/>
      <c r="BZ423" s="12"/>
      <c r="CA423" s="12"/>
    </row>
    <row r="424" spans="1:79" x14ac:dyDescent="0.3">
      <c r="A424" s="8">
        <v>2</v>
      </c>
      <c r="B424" s="8" t="s">
        <v>958</v>
      </c>
      <c r="C424" s="8">
        <v>1</v>
      </c>
      <c r="D424" s="8">
        <v>465</v>
      </c>
      <c r="E424" s="8" t="s">
        <v>951</v>
      </c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12"/>
      <c r="AW424" s="12"/>
      <c r="AX424" s="12"/>
      <c r="AY424" s="12"/>
      <c r="AZ424" s="12"/>
      <c r="BA424" s="12"/>
      <c r="BB424" s="12"/>
      <c r="BC424" s="12"/>
      <c r="BD424" s="12"/>
      <c r="BE424" s="12"/>
      <c r="BF424" s="12"/>
      <c r="BG424" s="12"/>
      <c r="BH424" s="12"/>
      <c r="BI424" s="12"/>
      <c r="BJ424" s="12"/>
      <c r="BK424" s="12"/>
      <c r="BL424" s="12"/>
      <c r="BM424" s="12"/>
      <c r="BN424" s="12"/>
      <c r="BO424" s="12"/>
      <c r="BP424" s="12"/>
      <c r="BQ424" s="12"/>
      <c r="BR424" s="12"/>
      <c r="BS424" s="12"/>
      <c r="BT424" s="12"/>
      <c r="BU424" s="12"/>
      <c r="BV424" s="12"/>
      <c r="BW424" s="12"/>
      <c r="BX424" s="12"/>
      <c r="BY424" s="12"/>
      <c r="BZ424" s="12"/>
      <c r="CA424" s="12"/>
    </row>
    <row r="425" spans="1:79" x14ac:dyDescent="0.3">
      <c r="A425" s="8">
        <v>2</v>
      </c>
      <c r="B425" s="8" t="s">
        <v>958</v>
      </c>
      <c r="C425" s="8">
        <v>1</v>
      </c>
      <c r="D425" s="8">
        <v>466</v>
      </c>
      <c r="E425" s="8" t="s">
        <v>951</v>
      </c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12"/>
      <c r="AW425" s="12"/>
      <c r="AX425" s="12"/>
      <c r="AY425" s="12"/>
      <c r="AZ425" s="12"/>
      <c r="BA425" s="12"/>
      <c r="BB425" s="12"/>
      <c r="BC425" s="12"/>
      <c r="BD425" s="12"/>
      <c r="BE425" s="12"/>
      <c r="BF425" s="12"/>
      <c r="BG425" s="12"/>
      <c r="BH425" s="12"/>
      <c r="BI425" s="12"/>
      <c r="BJ425" s="12"/>
      <c r="BK425" s="12"/>
      <c r="BL425" s="12"/>
      <c r="BM425" s="12"/>
      <c r="BN425" s="12"/>
      <c r="BO425" s="12"/>
      <c r="BP425" s="12"/>
      <c r="BQ425" s="12"/>
      <c r="BR425" s="12"/>
      <c r="BS425" s="12"/>
      <c r="BT425" s="12"/>
      <c r="BU425" s="12"/>
      <c r="BV425" s="12"/>
      <c r="BW425" s="12"/>
      <c r="BX425" s="12"/>
      <c r="BY425" s="12"/>
      <c r="BZ425" s="12"/>
      <c r="CA425" s="12"/>
    </row>
    <row r="426" spans="1:79" x14ac:dyDescent="0.3">
      <c r="A426" s="8">
        <v>2</v>
      </c>
      <c r="B426" s="8" t="s">
        <v>958</v>
      </c>
      <c r="C426" s="8">
        <v>1</v>
      </c>
      <c r="D426" s="8">
        <v>467</v>
      </c>
      <c r="E426" s="8" t="s">
        <v>950</v>
      </c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12"/>
      <c r="AW426" s="12"/>
      <c r="AX426" s="12"/>
      <c r="AY426" s="12"/>
      <c r="AZ426" s="12"/>
      <c r="BA426" s="12"/>
      <c r="BB426" s="12"/>
      <c r="BC426" s="12"/>
      <c r="BD426" s="12"/>
      <c r="BE426" s="12"/>
      <c r="BF426" s="12"/>
      <c r="BG426" s="12"/>
      <c r="BH426" s="12"/>
      <c r="BI426" s="12"/>
      <c r="BJ426" s="12"/>
      <c r="BK426" s="12"/>
      <c r="BL426" s="12"/>
      <c r="BM426" s="12"/>
      <c r="BN426" s="12"/>
      <c r="BO426" s="12"/>
      <c r="BP426" s="12"/>
      <c r="BQ426" s="12"/>
      <c r="BR426" s="12"/>
      <c r="BS426" s="12"/>
      <c r="BT426" s="12"/>
      <c r="BU426" s="12"/>
      <c r="BV426" s="12"/>
      <c r="BW426" s="12"/>
      <c r="BX426" s="12"/>
      <c r="BY426" s="12"/>
      <c r="BZ426" s="12"/>
      <c r="CA426" s="12"/>
    </row>
    <row r="427" spans="1:79" x14ac:dyDescent="0.3">
      <c r="A427" s="8">
        <v>2</v>
      </c>
      <c r="B427" s="8" t="s">
        <v>958</v>
      </c>
      <c r="C427" s="8">
        <v>1</v>
      </c>
      <c r="D427" s="8">
        <v>468</v>
      </c>
      <c r="E427" s="8" t="s">
        <v>951</v>
      </c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12"/>
      <c r="AW427" s="12"/>
      <c r="AX427" s="12"/>
      <c r="AY427" s="12"/>
      <c r="AZ427" s="12"/>
      <c r="BA427" s="12"/>
      <c r="BB427" s="12"/>
      <c r="BC427" s="12"/>
      <c r="BD427" s="12"/>
      <c r="BE427" s="12"/>
      <c r="BF427" s="12"/>
      <c r="BG427" s="12"/>
      <c r="BH427" s="12"/>
      <c r="BI427" s="12"/>
      <c r="BJ427" s="12"/>
      <c r="BK427" s="12"/>
      <c r="BL427" s="12"/>
      <c r="BM427" s="12"/>
      <c r="BN427" s="12"/>
      <c r="BO427" s="12"/>
      <c r="BP427" s="12"/>
      <c r="BQ427" s="12"/>
      <c r="BR427" s="12"/>
      <c r="BS427" s="12"/>
      <c r="BT427" s="12"/>
      <c r="BU427" s="12"/>
      <c r="BV427" s="12"/>
      <c r="BW427" s="12"/>
      <c r="BX427" s="12"/>
      <c r="BY427" s="12"/>
      <c r="BZ427" s="12"/>
      <c r="CA427" s="12"/>
    </row>
    <row r="428" spans="1:79" x14ac:dyDescent="0.3">
      <c r="A428" s="8">
        <v>2</v>
      </c>
      <c r="B428" s="8" t="s">
        <v>958</v>
      </c>
      <c r="C428" s="8">
        <v>1</v>
      </c>
      <c r="D428" s="8">
        <v>469</v>
      </c>
      <c r="E428" s="8" t="s">
        <v>950</v>
      </c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12"/>
      <c r="AW428" s="12"/>
      <c r="AX428" s="12"/>
      <c r="AY428" s="12"/>
      <c r="AZ428" s="12"/>
      <c r="BA428" s="12"/>
      <c r="BB428" s="12"/>
      <c r="BC428" s="12"/>
      <c r="BD428" s="12"/>
      <c r="BE428" s="12"/>
      <c r="BF428" s="12"/>
      <c r="BG428" s="12"/>
      <c r="BH428" s="12"/>
      <c r="BI428" s="12"/>
      <c r="BJ428" s="12"/>
      <c r="BK428" s="12"/>
      <c r="BL428" s="12"/>
      <c r="BM428" s="12"/>
      <c r="BN428" s="12"/>
      <c r="BO428" s="12"/>
      <c r="BP428" s="12"/>
      <c r="BQ428" s="12"/>
      <c r="BR428" s="12"/>
      <c r="BS428" s="12"/>
      <c r="BT428" s="12"/>
      <c r="BU428" s="12"/>
      <c r="BV428" s="12"/>
      <c r="BW428" s="12"/>
      <c r="BX428" s="12"/>
      <c r="BY428" s="12"/>
      <c r="BZ428" s="12"/>
      <c r="CA428" s="12"/>
    </row>
    <row r="429" spans="1:79" x14ac:dyDescent="0.3">
      <c r="A429" s="8">
        <v>2</v>
      </c>
      <c r="B429" s="8" t="s">
        <v>958</v>
      </c>
      <c r="C429" s="8">
        <v>1</v>
      </c>
      <c r="D429" s="8">
        <v>470</v>
      </c>
      <c r="E429" s="8" t="s">
        <v>951</v>
      </c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12"/>
      <c r="AW429" s="12"/>
      <c r="AX429" s="12"/>
      <c r="AY429" s="12"/>
      <c r="AZ429" s="12"/>
      <c r="BA429" s="12"/>
      <c r="BB429" s="12"/>
      <c r="BC429" s="12"/>
      <c r="BD429" s="12"/>
      <c r="BE429" s="12"/>
      <c r="BF429" s="12"/>
      <c r="BG429" s="12"/>
      <c r="BH429" s="12"/>
      <c r="BI429" s="12"/>
      <c r="BJ429" s="12"/>
      <c r="BK429" s="12"/>
      <c r="BL429" s="12"/>
      <c r="BM429" s="12"/>
      <c r="BN429" s="12"/>
      <c r="BO429" s="12"/>
      <c r="BP429" s="12"/>
      <c r="BQ429" s="12"/>
      <c r="BR429" s="12"/>
      <c r="BS429" s="12"/>
      <c r="BT429" s="12"/>
      <c r="BU429" s="12"/>
      <c r="BV429" s="12"/>
      <c r="BW429" s="12"/>
      <c r="BX429" s="12"/>
      <c r="BY429" s="12"/>
      <c r="BZ429" s="12"/>
      <c r="CA429" s="12"/>
    </row>
    <row r="430" spans="1:79" x14ac:dyDescent="0.3">
      <c r="A430" s="8">
        <v>2</v>
      </c>
      <c r="B430" s="8" t="s">
        <v>958</v>
      </c>
      <c r="C430" s="8">
        <v>1</v>
      </c>
      <c r="D430" s="8">
        <v>471</v>
      </c>
      <c r="E430" s="8" t="s">
        <v>951</v>
      </c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12"/>
      <c r="AW430" s="12"/>
      <c r="AX430" s="12"/>
      <c r="AY430" s="12"/>
      <c r="AZ430" s="12"/>
      <c r="BA430" s="12"/>
      <c r="BB430" s="12"/>
      <c r="BC430" s="12"/>
      <c r="BD430" s="12"/>
      <c r="BE430" s="12"/>
      <c r="BF430" s="12"/>
      <c r="BG430" s="12"/>
      <c r="BH430" s="12"/>
      <c r="BI430" s="12"/>
      <c r="BJ430" s="12"/>
      <c r="BK430" s="12"/>
      <c r="BL430" s="12"/>
      <c r="BM430" s="12"/>
      <c r="BN430" s="12"/>
      <c r="BO430" s="12"/>
      <c r="BP430" s="12"/>
      <c r="BQ430" s="12"/>
      <c r="BR430" s="12"/>
      <c r="BS430" s="12"/>
      <c r="BT430" s="12"/>
      <c r="BU430" s="12"/>
      <c r="BV430" s="12"/>
      <c r="BW430" s="12"/>
      <c r="BX430" s="12"/>
      <c r="BY430" s="12"/>
      <c r="BZ430" s="12"/>
      <c r="CA430" s="12"/>
    </row>
    <row r="431" spans="1:79" x14ac:dyDescent="0.3">
      <c r="A431" s="8">
        <v>2</v>
      </c>
      <c r="B431" s="8" t="s">
        <v>958</v>
      </c>
      <c r="C431" s="8">
        <v>1</v>
      </c>
      <c r="D431" s="8">
        <v>472</v>
      </c>
      <c r="E431" s="8" t="s">
        <v>950</v>
      </c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12"/>
      <c r="AW431" s="12"/>
      <c r="AX431" s="12"/>
      <c r="AY431" s="12"/>
      <c r="AZ431" s="12"/>
      <c r="BA431" s="12"/>
      <c r="BB431" s="12"/>
      <c r="BC431" s="12"/>
      <c r="BD431" s="12"/>
      <c r="BE431" s="12"/>
      <c r="BF431" s="12"/>
      <c r="BG431" s="12"/>
      <c r="BH431" s="12"/>
      <c r="BI431" s="12"/>
      <c r="BJ431" s="12"/>
      <c r="BK431" s="12"/>
      <c r="BL431" s="12"/>
      <c r="BM431" s="12"/>
      <c r="BN431" s="12"/>
      <c r="BO431" s="12"/>
      <c r="BP431" s="12"/>
      <c r="BQ431" s="12"/>
      <c r="BR431" s="12"/>
      <c r="BS431" s="12"/>
      <c r="BT431" s="12"/>
      <c r="BU431" s="12"/>
      <c r="BV431" s="12"/>
      <c r="BW431" s="12"/>
      <c r="BX431" s="12"/>
      <c r="BY431" s="12"/>
      <c r="BZ431" s="12"/>
      <c r="CA431" s="12"/>
    </row>
    <row r="432" spans="1:79" x14ac:dyDescent="0.3">
      <c r="A432" s="8">
        <v>2</v>
      </c>
      <c r="B432" s="8" t="s">
        <v>958</v>
      </c>
      <c r="C432" s="8">
        <v>1</v>
      </c>
      <c r="D432" s="8">
        <v>473</v>
      </c>
      <c r="E432" s="8" t="s">
        <v>950</v>
      </c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12"/>
      <c r="AW432" s="12"/>
      <c r="AX432" s="12"/>
      <c r="AY432" s="12"/>
      <c r="AZ432" s="12"/>
      <c r="BA432" s="12"/>
      <c r="BB432" s="12"/>
      <c r="BC432" s="12"/>
      <c r="BD432" s="12"/>
      <c r="BE432" s="12"/>
      <c r="BF432" s="12"/>
      <c r="BG432" s="12"/>
      <c r="BH432" s="12"/>
      <c r="BI432" s="12"/>
      <c r="BJ432" s="12"/>
      <c r="BK432" s="12"/>
      <c r="BL432" s="12"/>
      <c r="BM432" s="12"/>
      <c r="BN432" s="12"/>
      <c r="BO432" s="12"/>
      <c r="BP432" s="12"/>
      <c r="BQ432" s="12"/>
      <c r="BR432" s="12"/>
      <c r="BS432" s="12"/>
      <c r="BT432" s="12"/>
      <c r="BU432" s="12"/>
      <c r="BV432" s="12"/>
      <c r="BW432" s="12"/>
      <c r="BX432" s="12"/>
      <c r="BY432" s="12"/>
      <c r="BZ432" s="12"/>
      <c r="CA432" s="12"/>
    </row>
    <row r="433" spans="1:79" x14ac:dyDescent="0.3">
      <c r="A433" s="8">
        <v>2</v>
      </c>
      <c r="B433" s="8" t="s">
        <v>958</v>
      </c>
      <c r="C433" s="8">
        <v>1</v>
      </c>
      <c r="D433" s="8">
        <v>474</v>
      </c>
      <c r="E433" s="8" t="s">
        <v>950</v>
      </c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12"/>
      <c r="AW433" s="12"/>
      <c r="AX433" s="12"/>
      <c r="AY433" s="12"/>
      <c r="AZ433" s="12"/>
      <c r="BA433" s="12"/>
      <c r="BB433" s="12"/>
      <c r="BC433" s="12"/>
      <c r="BD433" s="12"/>
      <c r="BE433" s="12"/>
      <c r="BF433" s="12"/>
      <c r="BG433" s="12"/>
      <c r="BH433" s="12"/>
      <c r="BI433" s="12"/>
      <c r="BJ433" s="12"/>
      <c r="BK433" s="12"/>
      <c r="BL433" s="12"/>
      <c r="BM433" s="12"/>
      <c r="BN433" s="12"/>
      <c r="BO433" s="12"/>
      <c r="BP433" s="12"/>
      <c r="BQ433" s="12"/>
      <c r="BR433" s="12"/>
      <c r="BS433" s="12"/>
      <c r="BT433" s="12"/>
      <c r="BU433" s="12"/>
      <c r="BV433" s="12"/>
      <c r="BW433" s="12"/>
      <c r="BX433" s="12"/>
      <c r="BY433" s="12"/>
      <c r="BZ433" s="12"/>
      <c r="CA433" s="12"/>
    </row>
    <row r="434" spans="1:79" x14ac:dyDescent="0.3">
      <c r="A434" s="8">
        <v>2</v>
      </c>
      <c r="B434" s="8" t="s">
        <v>958</v>
      </c>
      <c r="C434" s="8">
        <v>1</v>
      </c>
      <c r="D434" s="8">
        <v>475</v>
      </c>
      <c r="E434" s="8" t="s">
        <v>951</v>
      </c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12"/>
      <c r="AW434" s="12"/>
      <c r="AX434" s="12"/>
      <c r="AY434" s="12"/>
      <c r="AZ434" s="12"/>
      <c r="BA434" s="12"/>
      <c r="BB434" s="12"/>
      <c r="BC434" s="12"/>
      <c r="BD434" s="12"/>
      <c r="BE434" s="12"/>
      <c r="BF434" s="12"/>
      <c r="BG434" s="12"/>
      <c r="BH434" s="12"/>
      <c r="BI434" s="12"/>
      <c r="BJ434" s="12"/>
      <c r="BK434" s="12"/>
      <c r="BL434" s="12"/>
      <c r="BM434" s="12"/>
      <c r="BN434" s="12"/>
      <c r="BO434" s="12"/>
      <c r="BP434" s="12"/>
      <c r="BQ434" s="12"/>
      <c r="BR434" s="12"/>
      <c r="BS434" s="12"/>
      <c r="BT434" s="12"/>
      <c r="BU434" s="12"/>
      <c r="BV434" s="12"/>
      <c r="BW434" s="12"/>
      <c r="BX434" s="12"/>
      <c r="BY434" s="12"/>
      <c r="BZ434" s="12"/>
      <c r="CA434" s="12"/>
    </row>
    <row r="435" spans="1:79" x14ac:dyDescent="0.3">
      <c r="A435" s="8">
        <v>2</v>
      </c>
      <c r="B435" s="8" t="s">
        <v>958</v>
      </c>
      <c r="C435" s="8">
        <v>1</v>
      </c>
      <c r="D435" s="8">
        <v>476</v>
      </c>
      <c r="E435" s="8" t="s">
        <v>951</v>
      </c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12"/>
      <c r="AW435" s="12"/>
      <c r="AX435" s="12"/>
      <c r="AY435" s="12"/>
      <c r="AZ435" s="12"/>
      <c r="BA435" s="12"/>
      <c r="BB435" s="12"/>
      <c r="BC435" s="12"/>
      <c r="BD435" s="12"/>
      <c r="BE435" s="12"/>
      <c r="BF435" s="12"/>
      <c r="BG435" s="12"/>
      <c r="BH435" s="12"/>
      <c r="BI435" s="12"/>
      <c r="BJ435" s="12"/>
      <c r="BK435" s="12"/>
      <c r="BL435" s="12"/>
      <c r="BM435" s="12"/>
      <c r="BN435" s="12"/>
      <c r="BO435" s="12"/>
      <c r="BP435" s="12"/>
      <c r="BQ435" s="12"/>
      <c r="BR435" s="12"/>
      <c r="BS435" s="12"/>
      <c r="BT435" s="12"/>
      <c r="BU435" s="12"/>
      <c r="BV435" s="12"/>
      <c r="BW435" s="12"/>
      <c r="BX435" s="12"/>
      <c r="BY435" s="12"/>
      <c r="BZ435" s="12"/>
      <c r="CA435" s="12"/>
    </row>
    <row r="436" spans="1:79" x14ac:dyDescent="0.3">
      <c r="A436" s="8">
        <v>2</v>
      </c>
      <c r="B436" s="8" t="s">
        <v>958</v>
      </c>
      <c r="C436" s="8">
        <v>1</v>
      </c>
      <c r="D436" s="8">
        <v>477</v>
      </c>
      <c r="E436" s="8" t="s">
        <v>950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12"/>
      <c r="AW436" s="12"/>
      <c r="AX436" s="12"/>
      <c r="AY436" s="12"/>
      <c r="AZ436" s="12"/>
      <c r="BA436" s="12"/>
      <c r="BB436" s="12"/>
      <c r="BC436" s="12"/>
      <c r="BD436" s="12"/>
      <c r="BE436" s="12"/>
      <c r="BF436" s="12"/>
      <c r="BG436" s="12"/>
      <c r="BH436" s="12"/>
      <c r="BI436" s="12"/>
      <c r="BJ436" s="12"/>
      <c r="BK436" s="12"/>
      <c r="BL436" s="12"/>
      <c r="BM436" s="12"/>
      <c r="BN436" s="12"/>
      <c r="BO436" s="12"/>
      <c r="BP436" s="12"/>
      <c r="BQ436" s="12"/>
      <c r="BR436" s="12"/>
      <c r="BS436" s="12"/>
      <c r="BT436" s="12"/>
      <c r="BU436" s="12"/>
      <c r="BV436" s="12"/>
      <c r="BW436" s="12"/>
      <c r="BX436" s="12"/>
      <c r="BY436" s="12"/>
      <c r="BZ436" s="12"/>
      <c r="CA436" s="12"/>
    </row>
    <row r="437" spans="1:79" x14ac:dyDescent="0.3">
      <c r="A437" s="8">
        <v>2</v>
      </c>
      <c r="B437" s="8" t="s">
        <v>958</v>
      </c>
      <c r="C437" s="8">
        <v>1</v>
      </c>
      <c r="D437" s="8">
        <v>478</v>
      </c>
      <c r="E437" s="8" t="s">
        <v>950</v>
      </c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12"/>
      <c r="AW437" s="12"/>
      <c r="AX437" s="12"/>
      <c r="AY437" s="12"/>
      <c r="AZ437" s="12"/>
      <c r="BA437" s="12"/>
      <c r="BB437" s="12"/>
      <c r="BC437" s="12"/>
      <c r="BD437" s="12"/>
      <c r="BE437" s="12"/>
      <c r="BF437" s="12"/>
      <c r="BG437" s="12"/>
      <c r="BH437" s="12"/>
      <c r="BI437" s="12"/>
      <c r="BJ437" s="12"/>
      <c r="BK437" s="12"/>
      <c r="BL437" s="12"/>
      <c r="BM437" s="12"/>
      <c r="BN437" s="12"/>
      <c r="BO437" s="12"/>
      <c r="BP437" s="12"/>
      <c r="BQ437" s="12"/>
      <c r="BR437" s="12"/>
      <c r="BS437" s="12"/>
      <c r="BT437" s="12"/>
      <c r="BU437" s="12"/>
      <c r="BV437" s="12"/>
      <c r="BW437" s="12"/>
      <c r="BX437" s="12"/>
      <c r="BY437" s="12"/>
      <c r="BZ437" s="12"/>
      <c r="CA437" s="12"/>
    </row>
    <row r="438" spans="1:79" x14ac:dyDescent="0.3">
      <c r="A438" s="8">
        <v>2</v>
      </c>
      <c r="B438" s="8" t="s">
        <v>958</v>
      </c>
      <c r="C438" s="8">
        <v>1</v>
      </c>
      <c r="D438" s="8">
        <v>479</v>
      </c>
      <c r="E438" s="8" t="s">
        <v>951</v>
      </c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12"/>
      <c r="AW438" s="12"/>
      <c r="AX438" s="12"/>
      <c r="AY438" s="12"/>
      <c r="AZ438" s="12"/>
      <c r="BA438" s="12"/>
      <c r="BB438" s="12"/>
      <c r="BC438" s="12"/>
      <c r="BD438" s="12"/>
      <c r="BE438" s="12"/>
      <c r="BF438" s="12"/>
      <c r="BG438" s="12"/>
      <c r="BH438" s="12"/>
      <c r="BI438" s="12"/>
      <c r="BJ438" s="12"/>
      <c r="BK438" s="12"/>
      <c r="BL438" s="12"/>
      <c r="BM438" s="12"/>
      <c r="BN438" s="12"/>
      <c r="BO438" s="12"/>
      <c r="BP438" s="12"/>
      <c r="BQ438" s="12"/>
      <c r="BR438" s="12"/>
      <c r="BS438" s="12"/>
      <c r="BT438" s="12"/>
      <c r="BU438" s="12"/>
      <c r="BV438" s="12"/>
      <c r="BW438" s="12"/>
      <c r="BX438" s="12"/>
      <c r="BY438" s="12"/>
      <c r="BZ438" s="12"/>
      <c r="CA438" s="12"/>
    </row>
    <row r="439" spans="1:79" x14ac:dyDescent="0.3">
      <c r="A439" s="8">
        <v>2</v>
      </c>
      <c r="B439" s="8" t="s">
        <v>958</v>
      </c>
      <c r="C439" s="8">
        <v>1</v>
      </c>
      <c r="D439" s="8">
        <v>480</v>
      </c>
      <c r="E439" s="8" t="s">
        <v>950</v>
      </c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12"/>
      <c r="AW439" s="12"/>
      <c r="AX439" s="12"/>
      <c r="AY439" s="12"/>
      <c r="AZ439" s="12"/>
      <c r="BA439" s="12"/>
      <c r="BB439" s="12"/>
      <c r="BC439" s="12"/>
      <c r="BD439" s="12"/>
      <c r="BE439" s="12"/>
      <c r="BF439" s="12"/>
      <c r="BG439" s="12"/>
      <c r="BH439" s="12"/>
      <c r="BI439" s="12"/>
      <c r="BJ439" s="12"/>
      <c r="BK439" s="12"/>
      <c r="BL439" s="12"/>
      <c r="BM439" s="12"/>
      <c r="BN439" s="12"/>
      <c r="BO439" s="12"/>
      <c r="BP439" s="12"/>
      <c r="BQ439" s="12"/>
      <c r="BR439" s="12"/>
      <c r="BS439" s="12"/>
      <c r="BT439" s="12"/>
      <c r="BU439" s="12"/>
      <c r="BV439" s="12"/>
      <c r="BW439" s="12"/>
      <c r="BX439" s="12"/>
      <c r="BY439" s="12"/>
      <c r="BZ439" s="12"/>
      <c r="CA439" s="12"/>
    </row>
    <row r="440" spans="1:79" x14ac:dyDescent="0.3">
      <c r="A440" s="8">
        <v>2</v>
      </c>
      <c r="B440" s="8" t="s">
        <v>958</v>
      </c>
      <c r="C440" s="8">
        <v>1</v>
      </c>
      <c r="D440" s="8">
        <v>481</v>
      </c>
      <c r="E440" s="8" t="s">
        <v>951</v>
      </c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12"/>
      <c r="AW440" s="12"/>
      <c r="AX440" s="12"/>
      <c r="AY440" s="12"/>
      <c r="AZ440" s="12"/>
      <c r="BA440" s="12"/>
      <c r="BB440" s="12"/>
      <c r="BC440" s="12"/>
      <c r="BD440" s="12"/>
      <c r="BE440" s="12"/>
      <c r="BF440" s="12"/>
      <c r="BG440" s="12"/>
      <c r="BH440" s="12"/>
      <c r="BI440" s="12"/>
      <c r="BJ440" s="12"/>
      <c r="BK440" s="12"/>
      <c r="BL440" s="12"/>
      <c r="BM440" s="12"/>
      <c r="BN440" s="12"/>
      <c r="BO440" s="12"/>
      <c r="BP440" s="12"/>
      <c r="BQ440" s="12"/>
      <c r="BR440" s="12"/>
      <c r="BS440" s="12"/>
      <c r="BT440" s="12"/>
      <c r="BU440" s="12"/>
      <c r="BV440" s="12"/>
      <c r="BW440" s="12"/>
      <c r="BX440" s="12"/>
      <c r="BY440" s="12"/>
      <c r="BZ440" s="12"/>
      <c r="CA440" s="12"/>
    </row>
    <row r="441" spans="1:79" x14ac:dyDescent="0.3">
      <c r="A441" s="8">
        <v>3</v>
      </c>
      <c r="B441" s="8" t="s">
        <v>958</v>
      </c>
      <c r="C441" s="8">
        <v>1</v>
      </c>
      <c r="D441" s="8">
        <v>482</v>
      </c>
      <c r="E441" s="8" t="s">
        <v>951</v>
      </c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12"/>
      <c r="AW441" s="12"/>
      <c r="AX441" s="12"/>
      <c r="AY441" s="12"/>
      <c r="AZ441" s="12"/>
      <c r="BA441" s="12"/>
      <c r="BB441" s="12"/>
      <c r="BC441" s="12"/>
      <c r="BD441" s="12"/>
      <c r="BE441" s="12"/>
      <c r="BF441" s="12"/>
      <c r="BG441" s="12"/>
      <c r="BH441" s="12"/>
      <c r="BI441" s="12"/>
      <c r="BJ441" s="12"/>
      <c r="BK441" s="12"/>
      <c r="BL441" s="12"/>
      <c r="BM441" s="12"/>
      <c r="BN441" s="12"/>
      <c r="BO441" s="12"/>
      <c r="BP441" s="12"/>
      <c r="BQ441" s="12"/>
      <c r="BR441" s="12"/>
      <c r="BS441" s="12"/>
      <c r="BT441" s="12"/>
      <c r="BU441" s="12"/>
      <c r="BV441" s="12"/>
      <c r="BW441" s="12"/>
      <c r="BX441" s="12"/>
      <c r="BY441" s="12"/>
      <c r="BZ441" s="12"/>
      <c r="CA441" s="12"/>
    </row>
    <row r="442" spans="1:79" x14ac:dyDescent="0.3">
      <c r="A442" s="8">
        <v>3</v>
      </c>
      <c r="B442" s="8" t="s">
        <v>958</v>
      </c>
      <c r="C442" s="8">
        <v>1</v>
      </c>
      <c r="D442" s="8">
        <v>483</v>
      </c>
      <c r="E442" s="8" t="s">
        <v>951</v>
      </c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12"/>
      <c r="AW442" s="12"/>
      <c r="AX442" s="12"/>
      <c r="AY442" s="12"/>
      <c r="AZ442" s="12"/>
      <c r="BA442" s="12"/>
      <c r="BB442" s="12"/>
      <c r="BC442" s="12"/>
      <c r="BD442" s="12"/>
      <c r="BE442" s="12"/>
      <c r="BF442" s="12"/>
      <c r="BG442" s="12"/>
      <c r="BH442" s="12"/>
      <c r="BI442" s="12"/>
      <c r="BJ442" s="12"/>
      <c r="BK442" s="12"/>
      <c r="BL442" s="12"/>
      <c r="BM442" s="12"/>
      <c r="BN442" s="12"/>
      <c r="BO442" s="12"/>
      <c r="BP442" s="12"/>
      <c r="BQ442" s="12"/>
      <c r="BR442" s="12"/>
      <c r="BS442" s="12"/>
      <c r="BT442" s="12"/>
      <c r="BU442" s="12"/>
      <c r="BV442" s="12"/>
      <c r="BW442" s="12"/>
      <c r="BX442" s="12"/>
      <c r="BY442" s="12"/>
      <c r="BZ442" s="12"/>
      <c r="CA442" s="12"/>
    </row>
    <row r="443" spans="1:79" x14ac:dyDescent="0.3">
      <c r="A443" s="8">
        <v>3</v>
      </c>
      <c r="B443" s="8" t="s">
        <v>958</v>
      </c>
      <c r="C443" s="8">
        <v>6</v>
      </c>
      <c r="D443" s="8">
        <v>484</v>
      </c>
      <c r="E443" s="8" t="s">
        <v>951</v>
      </c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12"/>
      <c r="AW443" s="12"/>
      <c r="AX443" s="12"/>
      <c r="AY443" s="12"/>
      <c r="AZ443" s="12"/>
      <c r="BA443" s="12"/>
      <c r="BB443" s="12"/>
      <c r="BC443" s="12"/>
      <c r="BD443" s="12"/>
      <c r="BE443" s="12"/>
      <c r="BF443" s="12"/>
      <c r="BG443" s="12"/>
      <c r="BH443" s="12"/>
      <c r="BI443" s="12"/>
      <c r="BJ443" s="12"/>
      <c r="BK443" s="12"/>
      <c r="BL443" s="12"/>
      <c r="BM443" s="12"/>
      <c r="BN443" s="12"/>
      <c r="BO443" s="12"/>
      <c r="BP443" s="12"/>
      <c r="BQ443" s="12"/>
      <c r="BR443" s="12"/>
      <c r="BS443" s="12"/>
      <c r="BT443" s="12"/>
      <c r="BU443" s="12"/>
      <c r="BV443" s="12"/>
      <c r="BW443" s="12"/>
      <c r="BX443" s="12"/>
      <c r="BY443" s="12"/>
      <c r="BZ443" s="12"/>
      <c r="CA443" s="12"/>
    </row>
    <row r="444" spans="1:79" x14ac:dyDescent="0.3">
      <c r="A444" s="8">
        <v>3</v>
      </c>
      <c r="B444" s="8" t="s">
        <v>958</v>
      </c>
      <c r="C444" s="8">
        <v>6</v>
      </c>
      <c r="D444" s="8">
        <v>485</v>
      </c>
      <c r="E444" s="8" t="s">
        <v>951</v>
      </c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12"/>
      <c r="AW444" s="12"/>
      <c r="AX444" s="12"/>
      <c r="AY444" s="12"/>
      <c r="AZ444" s="12"/>
      <c r="BA444" s="12"/>
      <c r="BB444" s="12"/>
      <c r="BC444" s="12"/>
      <c r="BD444" s="12"/>
      <c r="BE444" s="12"/>
      <c r="BF444" s="12"/>
      <c r="BG444" s="12"/>
      <c r="BH444" s="12"/>
      <c r="BI444" s="12"/>
      <c r="BJ444" s="12"/>
      <c r="BK444" s="12"/>
      <c r="BL444" s="12"/>
      <c r="BM444" s="12"/>
      <c r="BN444" s="12"/>
      <c r="BO444" s="12"/>
      <c r="BP444" s="12"/>
      <c r="BQ444" s="12"/>
      <c r="BR444" s="12"/>
      <c r="BS444" s="12"/>
      <c r="BT444" s="12"/>
      <c r="BU444" s="12"/>
      <c r="BV444" s="12"/>
      <c r="BW444" s="12"/>
      <c r="BX444" s="12"/>
      <c r="BY444" s="12"/>
      <c r="BZ444" s="12"/>
      <c r="CA444" s="12"/>
    </row>
    <row r="445" spans="1:79" x14ac:dyDescent="0.3">
      <c r="A445" s="8">
        <v>3</v>
      </c>
      <c r="B445" s="8" t="s">
        <v>958</v>
      </c>
      <c r="C445" s="8">
        <v>6</v>
      </c>
      <c r="D445" s="8">
        <v>486</v>
      </c>
      <c r="E445" s="8" t="s">
        <v>950</v>
      </c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12"/>
      <c r="AW445" s="12"/>
      <c r="AX445" s="12"/>
      <c r="AY445" s="12"/>
      <c r="AZ445" s="12"/>
      <c r="BA445" s="12"/>
      <c r="BB445" s="12"/>
      <c r="BC445" s="12"/>
      <c r="BD445" s="12"/>
      <c r="BE445" s="12"/>
      <c r="BF445" s="12"/>
      <c r="BG445" s="12"/>
      <c r="BH445" s="12"/>
      <c r="BI445" s="12"/>
      <c r="BJ445" s="12"/>
      <c r="BK445" s="12"/>
      <c r="BL445" s="12"/>
      <c r="BM445" s="12"/>
      <c r="BN445" s="12"/>
      <c r="BO445" s="12"/>
      <c r="BP445" s="12"/>
      <c r="BQ445" s="12"/>
      <c r="BR445" s="12"/>
      <c r="BS445" s="12"/>
      <c r="BT445" s="12"/>
      <c r="BU445" s="12"/>
      <c r="BV445" s="12"/>
      <c r="BW445" s="12"/>
      <c r="BX445" s="12"/>
      <c r="BY445" s="12"/>
      <c r="BZ445" s="12"/>
      <c r="CA445" s="12"/>
    </row>
    <row r="446" spans="1:79" x14ac:dyDescent="0.3">
      <c r="A446" s="8">
        <v>3</v>
      </c>
      <c r="B446" s="8" t="s">
        <v>958</v>
      </c>
      <c r="C446" s="8">
        <v>6</v>
      </c>
      <c r="D446" s="8">
        <v>487</v>
      </c>
      <c r="E446" s="8" t="s">
        <v>951</v>
      </c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12"/>
      <c r="AW446" s="12"/>
      <c r="AX446" s="12"/>
      <c r="AY446" s="12"/>
      <c r="AZ446" s="12"/>
      <c r="BA446" s="12"/>
      <c r="BB446" s="12"/>
      <c r="BC446" s="12"/>
      <c r="BD446" s="12"/>
      <c r="BE446" s="12"/>
      <c r="BF446" s="12"/>
      <c r="BG446" s="12"/>
      <c r="BH446" s="12"/>
      <c r="BI446" s="12"/>
      <c r="BJ446" s="12"/>
      <c r="BK446" s="12"/>
      <c r="BL446" s="12"/>
      <c r="BM446" s="12"/>
      <c r="BN446" s="12"/>
      <c r="BO446" s="12"/>
      <c r="BP446" s="12"/>
      <c r="BQ446" s="12"/>
      <c r="BR446" s="12"/>
      <c r="BS446" s="12"/>
      <c r="BT446" s="12"/>
      <c r="BU446" s="12"/>
      <c r="BV446" s="12"/>
      <c r="BW446" s="12"/>
      <c r="BX446" s="12"/>
      <c r="BY446" s="12"/>
      <c r="BZ446" s="12"/>
      <c r="CA446" s="12"/>
    </row>
    <row r="447" spans="1:79" x14ac:dyDescent="0.3">
      <c r="A447" s="8">
        <v>3</v>
      </c>
      <c r="B447" s="8" t="s">
        <v>958</v>
      </c>
      <c r="C447" s="8">
        <v>6</v>
      </c>
      <c r="D447" s="8">
        <v>488</v>
      </c>
      <c r="E447" s="8" t="s">
        <v>950</v>
      </c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12"/>
      <c r="AW447" s="12"/>
      <c r="AX447" s="12"/>
      <c r="AY447" s="12"/>
      <c r="AZ447" s="12"/>
      <c r="BA447" s="12"/>
      <c r="BB447" s="12"/>
      <c r="BC447" s="12"/>
      <c r="BD447" s="12"/>
      <c r="BE447" s="12"/>
      <c r="BF447" s="12"/>
      <c r="BG447" s="12"/>
      <c r="BH447" s="12"/>
      <c r="BI447" s="12"/>
      <c r="BJ447" s="12"/>
      <c r="BK447" s="12"/>
      <c r="BL447" s="12"/>
      <c r="BM447" s="12"/>
      <c r="BN447" s="12"/>
      <c r="BO447" s="12"/>
      <c r="BP447" s="12"/>
      <c r="BQ447" s="12"/>
      <c r="BR447" s="12"/>
      <c r="BS447" s="12"/>
      <c r="BT447" s="12"/>
      <c r="BU447" s="12"/>
      <c r="BV447" s="12"/>
      <c r="BW447" s="12"/>
      <c r="BX447" s="12"/>
      <c r="BY447" s="12"/>
      <c r="BZ447" s="12"/>
      <c r="CA447" s="12"/>
    </row>
    <row r="448" spans="1:79" x14ac:dyDescent="0.3">
      <c r="A448" s="8">
        <v>3</v>
      </c>
      <c r="B448" s="8" t="s">
        <v>958</v>
      </c>
      <c r="C448" s="8">
        <v>6</v>
      </c>
      <c r="D448" s="8">
        <v>489</v>
      </c>
      <c r="E448" s="8" t="s">
        <v>950</v>
      </c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12"/>
      <c r="AW448" s="12"/>
      <c r="AX448" s="12"/>
      <c r="AY448" s="12"/>
      <c r="AZ448" s="12"/>
      <c r="BA448" s="12"/>
      <c r="BB448" s="12"/>
      <c r="BC448" s="12"/>
      <c r="BD448" s="12"/>
      <c r="BE448" s="12"/>
      <c r="BF448" s="12"/>
      <c r="BG448" s="12"/>
      <c r="BH448" s="12"/>
      <c r="BI448" s="12"/>
      <c r="BJ448" s="12"/>
      <c r="BK448" s="12"/>
      <c r="BL448" s="12"/>
      <c r="BM448" s="12"/>
      <c r="BN448" s="12"/>
      <c r="BO448" s="12"/>
      <c r="BP448" s="12"/>
      <c r="BQ448" s="12"/>
      <c r="BR448" s="12"/>
      <c r="BS448" s="12"/>
      <c r="BT448" s="12"/>
      <c r="BU448" s="12"/>
      <c r="BV448" s="12"/>
      <c r="BW448" s="12"/>
      <c r="BX448" s="12"/>
      <c r="BY448" s="12"/>
      <c r="BZ448" s="12"/>
      <c r="CA448" s="12"/>
    </row>
    <row r="449" spans="1:79" x14ac:dyDescent="0.3">
      <c r="A449" s="8">
        <v>3</v>
      </c>
      <c r="B449" s="8" t="s">
        <v>958</v>
      </c>
      <c r="C449" s="8">
        <v>6</v>
      </c>
      <c r="D449" s="8">
        <v>490</v>
      </c>
      <c r="E449" s="8" t="s">
        <v>951</v>
      </c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12"/>
      <c r="AW449" s="12"/>
      <c r="AX449" s="12"/>
      <c r="AY449" s="12"/>
      <c r="AZ449" s="12"/>
      <c r="BA449" s="12"/>
      <c r="BB449" s="12"/>
      <c r="BC449" s="12"/>
      <c r="BD449" s="12"/>
      <c r="BE449" s="12"/>
      <c r="BF449" s="12"/>
      <c r="BG449" s="12"/>
      <c r="BH449" s="12"/>
      <c r="BI449" s="12"/>
      <c r="BJ449" s="12"/>
      <c r="BK449" s="12"/>
      <c r="BL449" s="12"/>
      <c r="BM449" s="12"/>
      <c r="BN449" s="12"/>
      <c r="BO449" s="12"/>
      <c r="BP449" s="12"/>
      <c r="BQ449" s="12"/>
      <c r="BR449" s="12"/>
      <c r="BS449" s="12"/>
      <c r="BT449" s="12"/>
      <c r="BU449" s="12"/>
      <c r="BV449" s="12"/>
      <c r="BW449" s="12"/>
      <c r="BX449" s="12"/>
      <c r="BY449" s="12"/>
      <c r="BZ449" s="12"/>
      <c r="CA449" s="12"/>
    </row>
    <row r="450" spans="1:79" x14ac:dyDescent="0.3">
      <c r="A450" s="8">
        <v>3</v>
      </c>
      <c r="B450" s="8" t="s">
        <v>958</v>
      </c>
      <c r="C450" s="8">
        <v>6</v>
      </c>
      <c r="D450" s="8">
        <v>491</v>
      </c>
      <c r="E450" s="8" t="s">
        <v>951</v>
      </c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12"/>
      <c r="AW450" s="12"/>
      <c r="AX450" s="12"/>
      <c r="AY450" s="12"/>
      <c r="AZ450" s="12"/>
      <c r="BA450" s="12"/>
      <c r="BB450" s="12"/>
      <c r="BC450" s="12"/>
      <c r="BD450" s="12"/>
      <c r="BE450" s="12"/>
      <c r="BF450" s="12"/>
      <c r="BG450" s="12"/>
      <c r="BH450" s="12"/>
      <c r="BI450" s="12"/>
      <c r="BJ450" s="12"/>
      <c r="BK450" s="12"/>
      <c r="BL450" s="12"/>
      <c r="BM450" s="12"/>
      <c r="BN450" s="12"/>
      <c r="BO450" s="12"/>
      <c r="BP450" s="12"/>
      <c r="BQ450" s="12"/>
      <c r="BR450" s="12"/>
      <c r="BS450" s="12"/>
      <c r="BT450" s="12"/>
      <c r="BU450" s="12"/>
      <c r="BV450" s="12"/>
      <c r="BW450" s="12"/>
      <c r="BX450" s="12"/>
      <c r="BY450" s="12"/>
      <c r="BZ450" s="12"/>
      <c r="CA450" s="12"/>
    </row>
    <row r="451" spans="1:79" x14ac:dyDescent="0.3">
      <c r="A451" s="8">
        <v>3</v>
      </c>
      <c r="B451" s="8" t="s">
        <v>958</v>
      </c>
      <c r="C451" s="8">
        <v>6</v>
      </c>
      <c r="D451" s="8">
        <v>492</v>
      </c>
      <c r="E451" s="8" t="s">
        <v>950</v>
      </c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12"/>
      <c r="AW451" s="12"/>
      <c r="AX451" s="12"/>
      <c r="AY451" s="12"/>
      <c r="AZ451" s="12"/>
      <c r="BA451" s="12"/>
      <c r="BB451" s="12"/>
      <c r="BC451" s="12"/>
      <c r="BD451" s="12"/>
      <c r="BE451" s="12"/>
      <c r="BF451" s="12"/>
      <c r="BG451" s="12"/>
      <c r="BH451" s="12"/>
      <c r="BI451" s="12"/>
      <c r="BJ451" s="12"/>
      <c r="BK451" s="12"/>
      <c r="BL451" s="12"/>
      <c r="BM451" s="12"/>
      <c r="BN451" s="12"/>
      <c r="BO451" s="12"/>
      <c r="BP451" s="12"/>
      <c r="BQ451" s="12"/>
      <c r="BR451" s="12"/>
      <c r="BS451" s="12"/>
      <c r="BT451" s="12"/>
      <c r="BU451" s="12"/>
      <c r="BV451" s="12"/>
      <c r="BW451" s="12"/>
      <c r="BX451" s="12"/>
      <c r="BY451" s="12"/>
      <c r="BZ451" s="12"/>
      <c r="CA451" s="12"/>
    </row>
    <row r="452" spans="1:79" x14ac:dyDescent="0.3">
      <c r="A452" s="8">
        <v>3</v>
      </c>
      <c r="B452" s="8" t="s">
        <v>958</v>
      </c>
      <c r="C452" s="8">
        <v>6</v>
      </c>
      <c r="D452" s="8">
        <v>493</v>
      </c>
      <c r="E452" s="8" t="s">
        <v>951</v>
      </c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12"/>
      <c r="AW452" s="12"/>
      <c r="AX452" s="12"/>
      <c r="AY452" s="12"/>
      <c r="AZ452" s="12"/>
      <c r="BA452" s="12"/>
      <c r="BB452" s="12"/>
      <c r="BC452" s="12"/>
      <c r="BD452" s="12"/>
      <c r="BE452" s="12"/>
      <c r="BF452" s="12"/>
      <c r="BG452" s="12"/>
      <c r="BH452" s="12"/>
      <c r="BI452" s="12"/>
      <c r="BJ452" s="12"/>
      <c r="BK452" s="12"/>
      <c r="BL452" s="12"/>
      <c r="BM452" s="12"/>
      <c r="BN452" s="12"/>
      <c r="BO452" s="12"/>
      <c r="BP452" s="12"/>
      <c r="BQ452" s="12"/>
      <c r="BR452" s="12"/>
      <c r="BS452" s="12"/>
      <c r="BT452" s="12"/>
      <c r="BU452" s="12"/>
      <c r="BV452" s="12"/>
      <c r="BW452" s="12"/>
      <c r="BX452" s="12"/>
      <c r="BY452" s="12"/>
      <c r="BZ452" s="12"/>
      <c r="CA452" s="12"/>
    </row>
    <row r="453" spans="1:79" x14ac:dyDescent="0.3">
      <c r="A453" s="8">
        <v>3</v>
      </c>
      <c r="B453" s="8" t="s">
        <v>958</v>
      </c>
      <c r="C453" s="8">
        <v>6</v>
      </c>
      <c r="D453" s="8">
        <v>494</v>
      </c>
      <c r="E453" s="8" t="s">
        <v>951</v>
      </c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12"/>
      <c r="AW453" s="12"/>
      <c r="AX453" s="12"/>
      <c r="AY453" s="12"/>
      <c r="AZ453" s="12"/>
      <c r="BA453" s="12"/>
      <c r="BB453" s="12"/>
      <c r="BC453" s="12"/>
      <c r="BD453" s="12"/>
      <c r="BE453" s="12"/>
      <c r="BF453" s="12"/>
      <c r="BG453" s="12"/>
      <c r="BH453" s="12"/>
      <c r="BI453" s="12"/>
      <c r="BJ453" s="12"/>
      <c r="BK453" s="12"/>
      <c r="BL453" s="12"/>
      <c r="BM453" s="12"/>
      <c r="BN453" s="12"/>
      <c r="BO453" s="12"/>
      <c r="BP453" s="12"/>
      <c r="BQ453" s="12"/>
      <c r="BR453" s="12"/>
      <c r="BS453" s="12"/>
      <c r="BT453" s="12"/>
      <c r="BU453" s="12"/>
      <c r="BV453" s="12"/>
      <c r="BW453" s="12"/>
      <c r="BX453" s="12"/>
      <c r="BY453" s="12"/>
      <c r="BZ453" s="12"/>
      <c r="CA453" s="12"/>
    </row>
    <row r="454" spans="1:79" x14ac:dyDescent="0.3">
      <c r="A454" s="8">
        <v>3</v>
      </c>
      <c r="B454" s="8" t="s">
        <v>958</v>
      </c>
      <c r="C454" s="8">
        <v>6</v>
      </c>
      <c r="D454" s="8">
        <v>495</v>
      </c>
      <c r="E454" s="8" t="s">
        <v>951</v>
      </c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12"/>
      <c r="AW454" s="12"/>
      <c r="AX454" s="12"/>
      <c r="AY454" s="12"/>
      <c r="AZ454" s="12"/>
      <c r="BA454" s="12"/>
      <c r="BB454" s="12"/>
      <c r="BC454" s="12"/>
      <c r="BD454" s="12"/>
      <c r="BE454" s="12"/>
      <c r="BF454" s="12"/>
      <c r="BG454" s="12"/>
      <c r="BH454" s="12"/>
      <c r="BI454" s="12"/>
      <c r="BJ454" s="12"/>
      <c r="BK454" s="12"/>
      <c r="BL454" s="12"/>
      <c r="BM454" s="12"/>
      <c r="BN454" s="12"/>
      <c r="BO454" s="12"/>
      <c r="BP454" s="12"/>
      <c r="BQ454" s="12"/>
      <c r="BR454" s="12"/>
      <c r="BS454" s="12"/>
      <c r="BT454" s="12"/>
      <c r="BU454" s="12"/>
      <c r="BV454" s="12"/>
      <c r="BW454" s="12"/>
      <c r="BX454" s="12"/>
      <c r="BY454" s="12"/>
      <c r="BZ454" s="12"/>
      <c r="CA454" s="12"/>
    </row>
    <row r="455" spans="1:79" x14ac:dyDescent="0.3">
      <c r="A455" s="8">
        <v>3</v>
      </c>
      <c r="B455" s="8" t="s">
        <v>958</v>
      </c>
      <c r="C455" s="8">
        <v>6</v>
      </c>
      <c r="D455" s="8">
        <v>496</v>
      </c>
      <c r="E455" s="8" t="s">
        <v>951</v>
      </c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12"/>
      <c r="AW455" s="12"/>
      <c r="AX455" s="12"/>
      <c r="AY455" s="12"/>
      <c r="AZ455" s="12"/>
      <c r="BA455" s="12"/>
      <c r="BB455" s="12"/>
      <c r="BC455" s="12"/>
      <c r="BD455" s="12"/>
      <c r="BE455" s="12"/>
      <c r="BF455" s="12"/>
      <c r="BG455" s="12"/>
      <c r="BH455" s="12"/>
      <c r="BI455" s="12"/>
      <c r="BJ455" s="12"/>
      <c r="BK455" s="12"/>
      <c r="BL455" s="12"/>
      <c r="BM455" s="12"/>
      <c r="BN455" s="12"/>
      <c r="BO455" s="12"/>
      <c r="BP455" s="12"/>
      <c r="BQ455" s="12"/>
      <c r="BR455" s="12"/>
      <c r="BS455" s="12"/>
      <c r="BT455" s="12"/>
      <c r="BU455" s="12"/>
      <c r="BV455" s="12"/>
      <c r="BW455" s="12"/>
      <c r="BX455" s="12"/>
      <c r="BY455" s="12"/>
      <c r="BZ455" s="12"/>
      <c r="CA455" s="12"/>
    </row>
    <row r="456" spans="1:79" x14ac:dyDescent="0.3">
      <c r="A456" s="8">
        <v>3</v>
      </c>
      <c r="B456" s="8" t="s">
        <v>958</v>
      </c>
      <c r="C456" s="8">
        <v>6</v>
      </c>
      <c r="D456" s="8">
        <v>497</v>
      </c>
      <c r="E456" s="8" t="s">
        <v>950</v>
      </c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12"/>
      <c r="AW456" s="12"/>
      <c r="AX456" s="12"/>
      <c r="AY456" s="12"/>
      <c r="AZ456" s="12"/>
      <c r="BA456" s="12"/>
      <c r="BB456" s="12"/>
      <c r="BC456" s="12"/>
      <c r="BD456" s="12"/>
      <c r="BE456" s="12"/>
      <c r="BF456" s="12"/>
      <c r="BG456" s="12"/>
      <c r="BH456" s="12"/>
      <c r="BI456" s="12"/>
      <c r="BJ456" s="12"/>
      <c r="BK456" s="12"/>
      <c r="BL456" s="12"/>
      <c r="BM456" s="12"/>
      <c r="BN456" s="12"/>
      <c r="BO456" s="12"/>
      <c r="BP456" s="12"/>
      <c r="BQ456" s="12"/>
      <c r="BR456" s="12"/>
      <c r="BS456" s="12"/>
      <c r="BT456" s="12"/>
      <c r="BU456" s="12"/>
      <c r="BV456" s="12"/>
      <c r="BW456" s="12"/>
      <c r="BX456" s="12"/>
      <c r="BY456" s="12"/>
      <c r="BZ456" s="12"/>
      <c r="CA456" s="12"/>
    </row>
    <row r="457" spans="1:79" x14ac:dyDescent="0.3">
      <c r="A457" s="8">
        <v>3</v>
      </c>
      <c r="B457" s="8" t="s">
        <v>958</v>
      </c>
      <c r="C457" s="8">
        <v>6</v>
      </c>
      <c r="D457" s="8">
        <v>498</v>
      </c>
      <c r="E457" s="8" t="s">
        <v>951</v>
      </c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12"/>
      <c r="AW457" s="12"/>
      <c r="AX457" s="12"/>
      <c r="AY457" s="12"/>
      <c r="AZ457" s="12"/>
      <c r="BA457" s="12"/>
      <c r="BB457" s="12"/>
      <c r="BC457" s="12"/>
      <c r="BD457" s="12"/>
      <c r="BE457" s="12"/>
      <c r="BF457" s="12"/>
      <c r="BG457" s="12"/>
      <c r="BH457" s="12"/>
      <c r="BI457" s="12"/>
      <c r="BJ457" s="12"/>
      <c r="BK457" s="12"/>
      <c r="BL457" s="12"/>
      <c r="BM457" s="12"/>
      <c r="BN457" s="12"/>
      <c r="BO457" s="12"/>
      <c r="BP457" s="12"/>
      <c r="BQ457" s="12"/>
      <c r="BR457" s="12"/>
      <c r="BS457" s="12"/>
      <c r="BT457" s="12"/>
      <c r="BU457" s="12"/>
      <c r="BV457" s="12"/>
      <c r="BW457" s="12"/>
      <c r="BX457" s="12"/>
      <c r="BY457" s="12"/>
      <c r="BZ457" s="12"/>
      <c r="CA457" s="12"/>
    </row>
    <row r="458" spans="1:79" x14ac:dyDescent="0.3">
      <c r="A458" s="8">
        <v>3</v>
      </c>
      <c r="B458" s="8" t="s">
        <v>958</v>
      </c>
      <c r="C458" s="8">
        <v>6</v>
      </c>
      <c r="D458" s="8">
        <v>499</v>
      </c>
      <c r="E458" s="8" t="s">
        <v>950</v>
      </c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12"/>
      <c r="AW458" s="12"/>
      <c r="AX458" s="12"/>
      <c r="AY458" s="12"/>
      <c r="AZ458" s="12"/>
      <c r="BA458" s="12"/>
      <c r="BB458" s="12"/>
      <c r="BC458" s="12"/>
      <c r="BD458" s="12"/>
      <c r="BE458" s="12"/>
      <c r="BF458" s="12"/>
      <c r="BG458" s="12"/>
      <c r="BH458" s="12"/>
      <c r="BI458" s="12"/>
      <c r="BJ458" s="12"/>
      <c r="BK458" s="12"/>
      <c r="BL458" s="12"/>
      <c r="BM458" s="12"/>
      <c r="BN458" s="12"/>
      <c r="BO458" s="12"/>
      <c r="BP458" s="12"/>
      <c r="BQ458" s="12"/>
      <c r="BR458" s="12"/>
      <c r="BS458" s="12"/>
      <c r="BT458" s="12"/>
      <c r="BU458" s="12"/>
      <c r="BV458" s="12"/>
      <c r="BW458" s="12"/>
      <c r="BX458" s="12"/>
      <c r="BY458" s="12"/>
      <c r="BZ458" s="12"/>
      <c r="CA458" s="12"/>
    </row>
    <row r="459" spans="1:79" x14ac:dyDescent="0.3">
      <c r="A459" s="8">
        <v>3</v>
      </c>
      <c r="B459" s="8" t="s">
        <v>958</v>
      </c>
      <c r="C459" s="8">
        <v>6</v>
      </c>
      <c r="D459" s="8">
        <v>500</v>
      </c>
      <c r="E459" s="8" t="s">
        <v>950</v>
      </c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12"/>
      <c r="AW459" s="12"/>
      <c r="AX459" s="12"/>
      <c r="AY459" s="12"/>
      <c r="AZ459" s="12"/>
      <c r="BA459" s="12"/>
      <c r="BB459" s="12"/>
      <c r="BC459" s="12"/>
      <c r="BD459" s="12"/>
      <c r="BE459" s="12"/>
      <c r="BF459" s="12"/>
      <c r="BG459" s="12"/>
      <c r="BH459" s="12"/>
      <c r="BI459" s="12"/>
      <c r="BJ459" s="12"/>
      <c r="BK459" s="12"/>
      <c r="BL459" s="12"/>
      <c r="BM459" s="12"/>
      <c r="BN459" s="12"/>
      <c r="BO459" s="12"/>
      <c r="BP459" s="12"/>
      <c r="BQ459" s="12"/>
      <c r="BR459" s="12"/>
      <c r="BS459" s="12"/>
      <c r="BT459" s="12"/>
      <c r="BU459" s="12"/>
      <c r="BV459" s="12"/>
      <c r="BW459" s="12"/>
      <c r="BX459" s="12"/>
      <c r="BY459" s="12"/>
      <c r="BZ459" s="12"/>
      <c r="CA459" s="12"/>
    </row>
    <row r="460" spans="1:79" x14ac:dyDescent="0.3">
      <c r="A460" s="8">
        <v>3</v>
      </c>
      <c r="B460" s="8" t="s">
        <v>958</v>
      </c>
      <c r="C460" s="8">
        <v>6</v>
      </c>
      <c r="D460" s="8">
        <v>501</v>
      </c>
      <c r="E460" s="8" t="s">
        <v>950</v>
      </c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12"/>
      <c r="AW460" s="12"/>
      <c r="AX460" s="12"/>
      <c r="AY460" s="12"/>
      <c r="AZ460" s="12"/>
      <c r="BA460" s="12"/>
      <c r="BB460" s="12"/>
      <c r="BC460" s="12"/>
      <c r="BD460" s="12"/>
      <c r="BE460" s="12"/>
      <c r="BF460" s="12"/>
      <c r="BG460" s="12"/>
      <c r="BH460" s="12"/>
      <c r="BI460" s="12"/>
      <c r="BJ460" s="12"/>
      <c r="BK460" s="12"/>
      <c r="BL460" s="12"/>
      <c r="BM460" s="12"/>
      <c r="BN460" s="12"/>
      <c r="BO460" s="12"/>
      <c r="BP460" s="12"/>
      <c r="BQ460" s="12"/>
      <c r="BR460" s="12"/>
      <c r="BS460" s="12"/>
      <c r="BT460" s="12"/>
      <c r="BU460" s="12"/>
      <c r="BV460" s="12"/>
      <c r="BW460" s="12"/>
      <c r="BX460" s="12"/>
      <c r="BY460" s="12"/>
      <c r="BZ460" s="12"/>
      <c r="CA460" s="12"/>
    </row>
    <row r="461" spans="1:79" x14ac:dyDescent="0.3">
      <c r="A461" s="8">
        <v>3</v>
      </c>
      <c r="B461" s="8" t="s">
        <v>958</v>
      </c>
      <c r="C461" s="8">
        <v>6</v>
      </c>
      <c r="D461" s="8">
        <v>502</v>
      </c>
      <c r="E461" s="8" t="s">
        <v>951</v>
      </c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12"/>
      <c r="AW461" s="12"/>
      <c r="AX461" s="12"/>
      <c r="AY461" s="12"/>
      <c r="AZ461" s="12"/>
      <c r="BA461" s="12"/>
      <c r="BB461" s="12"/>
      <c r="BC461" s="12"/>
      <c r="BD461" s="12"/>
      <c r="BE461" s="12"/>
      <c r="BF461" s="12"/>
      <c r="BG461" s="12"/>
      <c r="BH461" s="12"/>
      <c r="BI461" s="12"/>
      <c r="BJ461" s="12"/>
      <c r="BK461" s="12"/>
      <c r="BL461" s="12"/>
      <c r="BM461" s="12"/>
      <c r="BN461" s="12"/>
      <c r="BO461" s="12"/>
      <c r="BP461" s="12"/>
      <c r="BQ461" s="12"/>
      <c r="BR461" s="12"/>
      <c r="BS461" s="12"/>
      <c r="BT461" s="12"/>
      <c r="BU461" s="12"/>
      <c r="BV461" s="12"/>
      <c r="BW461" s="12"/>
      <c r="BX461" s="12"/>
      <c r="BY461" s="12"/>
      <c r="BZ461" s="12"/>
      <c r="CA461" s="12"/>
    </row>
    <row r="462" spans="1:79" x14ac:dyDescent="0.3">
      <c r="A462" s="8">
        <v>1</v>
      </c>
      <c r="B462" s="8" t="s">
        <v>958</v>
      </c>
      <c r="C462" s="8">
        <v>6</v>
      </c>
      <c r="D462" s="8">
        <v>503</v>
      </c>
      <c r="E462" s="8" t="s">
        <v>951</v>
      </c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12"/>
      <c r="AW462" s="12"/>
      <c r="AX462" s="12"/>
      <c r="AY462" s="12"/>
      <c r="AZ462" s="12"/>
      <c r="BA462" s="12"/>
      <c r="BB462" s="12"/>
      <c r="BC462" s="12"/>
      <c r="BD462" s="12"/>
      <c r="BE462" s="12"/>
      <c r="BF462" s="12"/>
      <c r="BG462" s="12"/>
      <c r="BH462" s="12"/>
      <c r="BI462" s="12"/>
      <c r="BJ462" s="12"/>
      <c r="BK462" s="12"/>
      <c r="BL462" s="12"/>
      <c r="BM462" s="12"/>
      <c r="BN462" s="12"/>
      <c r="BO462" s="12"/>
      <c r="BP462" s="12"/>
      <c r="BQ462" s="12"/>
      <c r="BR462" s="12"/>
      <c r="BS462" s="12"/>
      <c r="BT462" s="12"/>
      <c r="BU462" s="12"/>
      <c r="BV462" s="12"/>
      <c r="BW462" s="12"/>
      <c r="BX462" s="12"/>
      <c r="BY462" s="12"/>
      <c r="BZ462" s="12"/>
      <c r="CA462" s="12"/>
    </row>
    <row r="463" spans="1:79" x14ac:dyDescent="0.3">
      <c r="A463" s="8">
        <v>1</v>
      </c>
      <c r="B463" s="8" t="s">
        <v>958</v>
      </c>
      <c r="C463" s="8">
        <v>6</v>
      </c>
      <c r="D463" s="8">
        <v>504</v>
      </c>
      <c r="E463" s="8" t="s">
        <v>950</v>
      </c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12"/>
      <c r="AW463" s="12"/>
      <c r="AX463" s="12"/>
      <c r="AY463" s="12"/>
      <c r="AZ463" s="12"/>
      <c r="BA463" s="12"/>
      <c r="BB463" s="12"/>
      <c r="BC463" s="12"/>
      <c r="BD463" s="12"/>
      <c r="BE463" s="12"/>
      <c r="BF463" s="12"/>
      <c r="BG463" s="12"/>
      <c r="BH463" s="12"/>
      <c r="BI463" s="12"/>
      <c r="BJ463" s="12"/>
      <c r="BK463" s="12"/>
      <c r="BL463" s="12"/>
      <c r="BM463" s="12"/>
      <c r="BN463" s="12"/>
      <c r="BO463" s="12"/>
      <c r="BP463" s="12"/>
      <c r="BQ463" s="12"/>
      <c r="BR463" s="12"/>
      <c r="BS463" s="12"/>
      <c r="BT463" s="12"/>
      <c r="BU463" s="12"/>
      <c r="BV463" s="12"/>
      <c r="BW463" s="12"/>
      <c r="BX463" s="12"/>
      <c r="BY463" s="12"/>
      <c r="BZ463" s="12"/>
      <c r="CA463" s="12"/>
    </row>
    <row r="464" spans="1:79" x14ac:dyDescent="0.3">
      <c r="A464" s="8">
        <v>1</v>
      </c>
      <c r="B464" s="8" t="s">
        <v>959</v>
      </c>
      <c r="C464" s="8">
        <v>5</v>
      </c>
      <c r="D464" s="8">
        <v>505</v>
      </c>
      <c r="E464" s="8" t="s">
        <v>951</v>
      </c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12"/>
      <c r="AW464" s="12"/>
      <c r="AX464" s="12"/>
      <c r="AY464" s="12"/>
      <c r="AZ464" s="12"/>
      <c r="BA464" s="12"/>
      <c r="BB464" s="12"/>
      <c r="BC464" s="12"/>
      <c r="BD464" s="12"/>
      <c r="BE464" s="12"/>
      <c r="BF464" s="12"/>
      <c r="BG464" s="12"/>
      <c r="BH464" s="12"/>
      <c r="BI464" s="12"/>
      <c r="BJ464" s="12"/>
      <c r="BK464" s="12"/>
      <c r="BL464" s="12"/>
      <c r="BM464" s="12"/>
      <c r="BN464" s="12"/>
      <c r="BO464" s="12"/>
      <c r="BP464" s="12"/>
      <c r="BQ464" s="12"/>
      <c r="BR464" s="12"/>
      <c r="BS464" s="12"/>
      <c r="BT464" s="12"/>
      <c r="BU464" s="12"/>
      <c r="BV464" s="12"/>
      <c r="BW464" s="12"/>
      <c r="BX464" s="12"/>
      <c r="BY464" s="12"/>
      <c r="BZ464" s="12"/>
      <c r="CA464" s="12"/>
    </row>
    <row r="465" spans="1:79" x14ac:dyDescent="0.3">
      <c r="A465" s="8">
        <v>1</v>
      </c>
      <c r="B465" s="8" t="s">
        <v>959</v>
      </c>
      <c r="C465" s="8">
        <v>5</v>
      </c>
      <c r="D465" s="8">
        <v>506</v>
      </c>
      <c r="E465" s="8" t="s">
        <v>950</v>
      </c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12"/>
      <c r="AW465" s="12"/>
      <c r="AX465" s="12"/>
      <c r="AY465" s="12"/>
      <c r="AZ465" s="12"/>
      <c r="BA465" s="12"/>
      <c r="BB465" s="12"/>
      <c r="BC465" s="12"/>
      <c r="BD465" s="12"/>
      <c r="BE465" s="12"/>
      <c r="BF465" s="12"/>
      <c r="BG465" s="12"/>
      <c r="BH465" s="12"/>
      <c r="BI465" s="12"/>
      <c r="BJ465" s="12"/>
      <c r="BK465" s="12"/>
      <c r="BL465" s="12"/>
      <c r="BM465" s="12"/>
      <c r="BN465" s="12"/>
      <c r="BO465" s="12"/>
      <c r="BP465" s="12"/>
      <c r="BQ465" s="12"/>
      <c r="BR465" s="12"/>
      <c r="BS465" s="12"/>
      <c r="BT465" s="12"/>
      <c r="BU465" s="12"/>
      <c r="BV465" s="12"/>
      <c r="BW465" s="12"/>
      <c r="BX465" s="12"/>
      <c r="BY465" s="12"/>
      <c r="BZ465" s="12"/>
      <c r="CA465" s="12"/>
    </row>
    <row r="466" spans="1:79" x14ac:dyDescent="0.3">
      <c r="A466" s="8">
        <v>1</v>
      </c>
      <c r="B466" s="8" t="s">
        <v>959</v>
      </c>
      <c r="C466" s="8">
        <v>5</v>
      </c>
      <c r="D466" s="8">
        <v>507</v>
      </c>
      <c r="E466" s="8" t="s">
        <v>951</v>
      </c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12"/>
      <c r="AW466" s="12"/>
      <c r="AX466" s="12"/>
      <c r="AY466" s="12"/>
      <c r="AZ466" s="12"/>
      <c r="BA466" s="12"/>
      <c r="BB466" s="12"/>
      <c r="BC466" s="12"/>
      <c r="BD466" s="12"/>
      <c r="BE466" s="12"/>
      <c r="BF466" s="12"/>
      <c r="BG466" s="12"/>
      <c r="BH466" s="12"/>
      <c r="BI466" s="12"/>
      <c r="BJ466" s="12"/>
      <c r="BK466" s="12"/>
      <c r="BL466" s="12"/>
      <c r="BM466" s="12"/>
      <c r="BN466" s="12"/>
      <c r="BO466" s="12"/>
      <c r="BP466" s="12"/>
      <c r="BQ466" s="12"/>
      <c r="BR466" s="12"/>
      <c r="BS466" s="12"/>
      <c r="BT466" s="12"/>
      <c r="BU466" s="12"/>
      <c r="BV466" s="12"/>
      <c r="BW466" s="12"/>
      <c r="BX466" s="12"/>
      <c r="BY466" s="12"/>
      <c r="BZ466" s="12"/>
      <c r="CA466" s="12"/>
    </row>
    <row r="467" spans="1:79" x14ac:dyDescent="0.3">
      <c r="A467" s="8">
        <v>1</v>
      </c>
      <c r="B467" s="8" t="s">
        <v>959</v>
      </c>
      <c r="C467" s="8">
        <v>5</v>
      </c>
      <c r="D467" s="8">
        <v>508</v>
      </c>
      <c r="E467" s="8" t="s">
        <v>950</v>
      </c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12"/>
      <c r="AW467" s="12"/>
      <c r="AX467" s="12"/>
      <c r="AY467" s="12"/>
      <c r="AZ467" s="12"/>
      <c r="BA467" s="12"/>
      <c r="BB467" s="12"/>
      <c r="BC467" s="12"/>
      <c r="BD467" s="12"/>
      <c r="BE467" s="12"/>
      <c r="BF467" s="12"/>
      <c r="BG467" s="12"/>
      <c r="BH467" s="12"/>
      <c r="BI467" s="12"/>
      <c r="BJ467" s="12"/>
      <c r="BK467" s="12"/>
      <c r="BL467" s="12"/>
      <c r="BM467" s="12"/>
      <c r="BN467" s="12"/>
      <c r="BO467" s="12"/>
      <c r="BP467" s="12"/>
      <c r="BQ467" s="12"/>
      <c r="BR467" s="12"/>
      <c r="BS467" s="12"/>
      <c r="BT467" s="12"/>
      <c r="BU467" s="12"/>
      <c r="BV467" s="12"/>
      <c r="BW467" s="12"/>
      <c r="BX467" s="12"/>
      <c r="BY467" s="12"/>
      <c r="BZ467" s="12"/>
      <c r="CA467" s="12"/>
    </row>
    <row r="468" spans="1:79" x14ac:dyDescent="0.3">
      <c r="A468" s="8">
        <v>1</v>
      </c>
      <c r="B468" s="8" t="s">
        <v>959</v>
      </c>
      <c r="C468" s="8">
        <v>5</v>
      </c>
      <c r="D468" s="8">
        <v>509</v>
      </c>
      <c r="E468" s="8" t="s">
        <v>951</v>
      </c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12"/>
      <c r="AW468" s="12"/>
      <c r="AX468" s="12"/>
      <c r="AY468" s="12"/>
      <c r="AZ468" s="12"/>
      <c r="BA468" s="12"/>
      <c r="BB468" s="12"/>
      <c r="BC468" s="12"/>
      <c r="BD468" s="12"/>
      <c r="BE468" s="12"/>
      <c r="BF468" s="12"/>
      <c r="BG468" s="12"/>
      <c r="BH468" s="12"/>
      <c r="BI468" s="12"/>
      <c r="BJ468" s="12"/>
      <c r="BK468" s="12"/>
      <c r="BL468" s="12"/>
      <c r="BM468" s="12"/>
      <c r="BN468" s="12"/>
      <c r="BO468" s="12"/>
      <c r="BP468" s="12"/>
      <c r="BQ468" s="12"/>
      <c r="BR468" s="12"/>
      <c r="BS468" s="12"/>
      <c r="BT468" s="12"/>
      <c r="BU468" s="12"/>
      <c r="BV468" s="12"/>
      <c r="BW468" s="12"/>
      <c r="BX468" s="12"/>
      <c r="BY468" s="12"/>
      <c r="BZ468" s="12"/>
      <c r="CA468" s="12"/>
    </row>
    <row r="469" spans="1:79" x14ac:dyDescent="0.3">
      <c r="A469" s="8">
        <v>1</v>
      </c>
      <c r="B469" s="8" t="s">
        <v>959</v>
      </c>
      <c r="C469" s="8">
        <v>5</v>
      </c>
      <c r="D469" s="8">
        <v>510</v>
      </c>
      <c r="E469" s="8" t="s">
        <v>950</v>
      </c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12"/>
      <c r="AW469" s="12"/>
      <c r="AX469" s="12"/>
      <c r="AY469" s="12"/>
      <c r="AZ469" s="12"/>
      <c r="BA469" s="12"/>
      <c r="BB469" s="12"/>
      <c r="BC469" s="12"/>
      <c r="BD469" s="12"/>
      <c r="BE469" s="12"/>
      <c r="BF469" s="12"/>
      <c r="BG469" s="12"/>
      <c r="BH469" s="12"/>
      <c r="BI469" s="12"/>
      <c r="BJ469" s="12"/>
      <c r="BK469" s="12"/>
      <c r="BL469" s="12"/>
      <c r="BM469" s="12"/>
      <c r="BN469" s="12"/>
      <c r="BO469" s="12"/>
      <c r="BP469" s="12"/>
      <c r="BQ469" s="12"/>
      <c r="BR469" s="12"/>
      <c r="BS469" s="12"/>
      <c r="BT469" s="12"/>
      <c r="BU469" s="12"/>
      <c r="BV469" s="12"/>
      <c r="BW469" s="12"/>
      <c r="BX469" s="12"/>
      <c r="BY469" s="12"/>
      <c r="BZ469" s="12"/>
      <c r="CA469" s="12"/>
    </row>
    <row r="470" spans="1:79" x14ac:dyDescent="0.3">
      <c r="A470" s="8">
        <v>1</v>
      </c>
      <c r="B470" s="8" t="s">
        <v>959</v>
      </c>
      <c r="C470" s="8">
        <v>5</v>
      </c>
      <c r="D470" s="8">
        <v>511</v>
      </c>
      <c r="E470" s="8" t="s">
        <v>951</v>
      </c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12"/>
      <c r="AW470" s="12"/>
      <c r="AX470" s="12"/>
      <c r="AY470" s="12"/>
      <c r="AZ470" s="12"/>
      <c r="BA470" s="12"/>
      <c r="BB470" s="12"/>
      <c r="BC470" s="12"/>
      <c r="BD470" s="12"/>
      <c r="BE470" s="12"/>
      <c r="BF470" s="12"/>
      <c r="BG470" s="12"/>
      <c r="BH470" s="12"/>
      <c r="BI470" s="12"/>
      <c r="BJ470" s="12"/>
      <c r="BK470" s="12"/>
      <c r="BL470" s="12"/>
      <c r="BM470" s="12"/>
      <c r="BN470" s="12"/>
      <c r="BO470" s="12"/>
      <c r="BP470" s="12"/>
      <c r="BQ470" s="12"/>
      <c r="BR470" s="12"/>
      <c r="BS470" s="12"/>
      <c r="BT470" s="12"/>
      <c r="BU470" s="12"/>
      <c r="BV470" s="12"/>
      <c r="BW470" s="12"/>
      <c r="BX470" s="12"/>
      <c r="BY470" s="12"/>
      <c r="BZ470" s="12"/>
      <c r="CA470" s="12"/>
    </row>
    <row r="471" spans="1:79" x14ac:dyDescent="0.3">
      <c r="A471" s="8">
        <v>1</v>
      </c>
      <c r="B471" s="8" t="s">
        <v>959</v>
      </c>
      <c r="C471" s="8">
        <v>5</v>
      </c>
      <c r="D471" s="8">
        <v>512</v>
      </c>
      <c r="E471" s="8" t="s">
        <v>950</v>
      </c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12"/>
      <c r="AW471" s="12"/>
      <c r="AX471" s="12"/>
      <c r="AY471" s="12"/>
      <c r="AZ471" s="12"/>
      <c r="BA471" s="12"/>
      <c r="BB471" s="12"/>
      <c r="BC471" s="12"/>
      <c r="BD471" s="12"/>
      <c r="BE471" s="12"/>
      <c r="BF471" s="12"/>
      <c r="BG471" s="12"/>
      <c r="BH471" s="12"/>
      <c r="BI471" s="12"/>
      <c r="BJ471" s="12"/>
      <c r="BK471" s="12"/>
      <c r="BL471" s="12"/>
      <c r="BM471" s="12"/>
      <c r="BN471" s="12"/>
      <c r="BO471" s="12"/>
      <c r="BP471" s="12"/>
      <c r="BQ471" s="12"/>
      <c r="BR471" s="12"/>
      <c r="BS471" s="12"/>
      <c r="BT471" s="12"/>
      <c r="BU471" s="12"/>
      <c r="BV471" s="12"/>
      <c r="BW471" s="12"/>
      <c r="BX471" s="12"/>
      <c r="BY471" s="12"/>
      <c r="BZ471" s="12"/>
      <c r="CA471" s="12"/>
    </row>
    <row r="472" spans="1:79" x14ac:dyDescent="0.3">
      <c r="A472" s="8">
        <v>1</v>
      </c>
      <c r="B472" s="8" t="s">
        <v>959</v>
      </c>
      <c r="C472" s="8">
        <v>5</v>
      </c>
      <c r="D472" s="8">
        <v>513</v>
      </c>
      <c r="E472" s="8" t="s">
        <v>951</v>
      </c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12"/>
      <c r="AW472" s="12"/>
      <c r="AX472" s="12"/>
      <c r="AY472" s="12"/>
      <c r="AZ472" s="12"/>
      <c r="BA472" s="12"/>
      <c r="BB472" s="12"/>
      <c r="BC472" s="12"/>
      <c r="BD472" s="12"/>
      <c r="BE472" s="12"/>
      <c r="BF472" s="12"/>
      <c r="BG472" s="12"/>
      <c r="BH472" s="12"/>
      <c r="BI472" s="12"/>
      <c r="BJ472" s="12"/>
      <c r="BK472" s="12"/>
      <c r="BL472" s="12"/>
      <c r="BM472" s="12"/>
      <c r="BN472" s="12"/>
      <c r="BO472" s="12"/>
      <c r="BP472" s="12"/>
      <c r="BQ472" s="12"/>
      <c r="BR472" s="12"/>
      <c r="BS472" s="12"/>
      <c r="BT472" s="12"/>
      <c r="BU472" s="12"/>
      <c r="BV472" s="12"/>
      <c r="BW472" s="12"/>
      <c r="BX472" s="12"/>
      <c r="BY472" s="12"/>
      <c r="BZ472" s="12"/>
      <c r="CA472" s="12"/>
    </row>
    <row r="473" spans="1:79" x14ac:dyDescent="0.3">
      <c r="A473" s="8">
        <v>1</v>
      </c>
      <c r="B473" s="8" t="s">
        <v>959</v>
      </c>
      <c r="C473" s="8">
        <v>5</v>
      </c>
      <c r="D473" s="8">
        <v>514</v>
      </c>
      <c r="E473" s="8" t="s">
        <v>950</v>
      </c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12"/>
      <c r="AW473" s="12"/>
      <c r="AX473" s="12"/>
      <c r="AY473" s="12"/>
      <c r="AZ473" s="12"/>
      <c r="BA473" s="12"/>
      <c r="BB473" s="12"/>
      <c r="BC473" s="12"/>
      <c r="BD473" s="12"/>
      <c r="BE473" s="12"/>
      <c r="BF473" s="12"/>
      <c r="BG473" s="12"/>
      <c r="BH473" s="12"/>
      <c r="BI473" s="12"/>
      <c r="BJ473" s="12"/>
      <c r="BK473" s="12"/>
      <c r="BL473" s="12"/>
      <c r="BM473" s="12"/>
      <c r="BN473" s="12"/>
      <c r="BO473" s="12"/>
      <c r="BP473" s="12"/>
      <c r="BQ473" s="12"/>
      <c r="BR473" s="12"/>
      <c r="BS473" s="12"/>
      <c r="BT473" s="12"/>
      <c r="BU473" s="12"/>
      <c r="BV473" s="12"/>
      <c r="BW473" s="12"/>
      <c r="BX473" s="12"/>
      <c r="BY473" s="12"/>
      <c r="BZ473" s="12"/>
      <c r="CA473" s="12"/>
    </row>
    <row r="474" spans="1:79" x14ac:dyDescent="0.3">
      <c r="A474" s="8">
        <v>1</v>
      </c>
      <c r="B474" s="8" t="s">
        <v>959</v>
      </c>
      <c r="C474" s="8">
        <v>5</v>
      </c>
      <c r="D474" s="8">
        <v>515</v>
      </c>
      <c r="E474" s="8" t="s">
        <v>951</v>
      </c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12"/>
      <c r="AW474" s="12"/>
      <c r="AX474" s="12"/>
      <c r="AY474" s="12"/>
      <c r="AZ474" s="12"/>
      <c r="BA474" s="12"/>
      <c r="BB474" s="12"/>
      <c r="BC474" s="12"/>
      <c r="BD474" s="12"/>
      <c r="BE474" s="12"/>
      <c r="BF474" s="12"/>
      <c r="BG474" s="12"/>
      <c r="BH474" s="12"/>
      <c r="BI474" s="12"/>
      <c r="BJ474" s="12"/>
      <c r="BK474" s="12"/>
      <c r="BL474" s="12"/>
      <c r="BM474" s="12"/>
      <c r="BN474" s="12"/>
      <c r="BO474" s="12"/>
      <c r="BP474" s="12"/>
      <c r="BQ474" s="12"/>
      <c r="BR474" s="12"/>
      <c r="BS474" s="12"/>
      <c r="BT474" s="12"/>
      <c r="BU474" s="12"/>
      <c r="BV474" s="12"/>
      <c r="BW474" s="12"/>
      <c r="BX474" s="12"/>
      <c r="BY474" s="12"/>
      <c r="BZ474" s="12"/>
      <c r="CA474" s="12"/>
    </row>
    <row r="475" spans="1:79" x14ac:dyDescent="0.3">
      <c r="A475" s="8">
        <v>1</v>
      </c>
      <c r="B475" s="8" t="s">
        <v>959</v>
      </c>
      <c r="C475" s="8">
        <v>5</v>
      </c>
      <c r="D475" s="8">
        <v>516</v>
      </c>
      <c r="E475" s="8" t="s">
        <v>950</v>
      </c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12"/>
      <c r="AW475" s="12"/>
      <c r="AX475" s="12"/>
      <c r="AY475" s="12"/>
      <c r="AZ475" s="12"/>
      <c r="BA475" s="12"/>
      <c r="BB475" s="12"/>
      <c r="BC475" s="12"/>
      <c r="BD475" s="12"/>
      <c r="BE475" s="12"/>
      <c r="BF475" s="12"/>
      <c r="BG475" s="12"/>
      <c r="BH475" s="12"/>
      <c r="BI475" s="12"/>
      <c r="BJ475" s="12"/>
      <c r="BK475" s="12"/>
      <c r="BL475" s="12"/>
      <c r="BM475" s="12"/>
      <c r="BN475" s="12"/>
      <c r="BO475" s="12"/>
      <c r="BP475" s="12"/>
      <c r="BQ475" s="12"/>
      <c r="BR475" s="12"/>
      <c r="BS475" s="12"/>
      <c r="BT475" s="12"/>
      <c r="BU475" s="12"/>
      <c r="BV475" s="12"/>
      <c r="BW475" s="12"/>
      <c r="BX475" s="12"/>
      <c r="BY475" s="12"/>
      <c r="BZ475" s="12"/>
      <c r="CA475" s="12"/>
    </row>
    <row r="476" spans="1:79" x14ac:dyDescent="0.3">
      <c r="A476" s="8">
        <v>1</v>
      </c>
      <c r="B476" s="8" t="s">
        <v>959</v>
      </c>
      <c r="C476" s="8">
        <v>5</v>
      </c>
      <c r="D476" s="8">
        <v>517</v>
      </c>
      <c r="E476" s="8" t="s">
        <v>951</v>
      </c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12"/>
      <c r="AW476" s="12"/>
      <c r="AX476" s="12"/>
      <c r="AY476" s="12"/>
      <c r="AZ476" s="12"/>
      <c r="BA476" s="12"/>
      <c r="BB476" s="12"/>
      <c r="BC476" s="12"/>
      <c r="BD476" s="12"/>
      <c r="BE476" s="12"/>
      <c r="BF476" s="12"/>
      <c r="BG476" s="12"/>
      <c r="BH476" s="12"/>
      <c r="BI476" s="12"/>
      <c r="BJ476" s="12"/>
      <c r="BK476" s="12"/>
      <c r="BL476" s="12"/>
      <c r="BM476" s="12"/>
      <c r="BN476" s="12"/>
      <c r="BO476" s="12"/>
      <c r="BP476" s="12"/>
      <c r="BQ476" s="12"/>
      <c r="BR476" s="12"/>
      <c r="BS476" s="12"/>
      <c r="BT476" s="12"/>
      <c r="BU476" s="12"/>
      <c r="BV476" s="12"/>
      <c r="BW476" s="12"/>
      <c r="BX476" s="12"/>
      <c r="BY476" s="12"/>
      <c r="BZ476" s="12"/>
      <c r="CA476" s="12"/>
    </row>
    <row r="477" spans="1:79" x14ac:dyDescent="0.3">
      <c r="A477" s="8">
        <v>1</v>
      </c>
      <c r="B477" s="8" t="s">
        <v>959</v>
      </c>
      <c r="C477" s="8">
        <v>5</v>
      </c>
      <c r="D477" s="8">
        <v>518</v>
      </c>
      <c r="E477" s="8" t="s">
        <v>950</v>
      </c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12"/>
      <c r="AW477" s="12"/>
      <c r="AX477" s="12"/>
      <c r="AY477" s="12"/>
      <c r="AZ477" s="12"/>
      <c r="BA477" s="12"/>
      <c r="BB477" s="12"/>
      <c r="BC477" s="12"/>
      <c r="BD477" s="12"/>
      <c r="BE477" s="12"/>
      <c r="BF477" s="12"/>
      <c r="BG477" s="12"/>
      <c r="BH477" s="12"/>
      <c r="BI477" s="12"/>
      <c r="BJ477" s="12"/>
      <c r="BK477" s="12"/>
      <c r="BL477" s="12"/>
      <c r="BM477" s="12"/>
      <c r="BN477" s="12"/>
      <c r="BO477" s="12"/>
      <c r="BP477" s="12"/>
      <c r="BQ477" s="12"/>
      <c r="BR477" s="12"/>
      <c r="BS477" s="12"/>
      <c r="BT477" s="12"/>
      <c r="BU477" s="12"/>
      <c r="BV477" s="12"/>
      <c r="BW477" s="12"/>
      <c r="BX477" s="12"/>
      <c r="BY477" s="12"/>
      <c r="BZ477" s="12"/>
      <c r="CA477" s="12"/>
    </row>
    <row r="478" spans="1:79" x14ac:dyDescent="0.3">
      <c r="A478" s="8">
        <v>1</v>
      </c>
      <c r="B478" s="8" t="s">
        <v>959</v>
      </c>
      <c r="C478" s="8">
        <v>5</v>
      </c>
      <c r="D478" s="8">
        <v>519</v>
      </c>
      <c r="E478" s="8" t="s">
        <v>950</v>
      </c>
      <c r="F478" s="12"/>
      <c r="G478" s="12"/>
      <c r="H478" s="12"/>
      <c r="I478" s="18">
        <v>195</v>
      </c>
      <c r="J478" s="18">
        <v>195</v>
      </c>
      <c r="K478" s="18">
        <v>195</v>
      </c>
      <c r="L478" s="18">
        <v>195</v>
      </c>
      <c r="M478" s="18">
        <v>195</v>
      </c>
      <c r="N478" s="18">
        <v>195</v>
      </c>
      <c r="O478" s="18">
        <v>195</v>
      </c>
      <c r="P478" s="18">
        <v>195</v>
      </c>
      <c r="Q478" s="18">
        <v>195</v>
      </c>
      <c r="R478" s="18">
        <v>195</v>
      </c>
      <c r="S478" s="18">
        <v>195</v>
      </c>
      <c r="T478" s="18">
        <v>195</v>
      </c>
      <c r="U478" s="18">
        <v>195</v>
      </c>
      <c r="V478" s="18">
        <v>195</v>
      </c>
      <c r="W478" s="18">
        <v>195</v>
      </c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12"/>
      <c r="AW478" s="12"/>
      <c r="AX478" s="12"/>
      <c r="AY478" s="12"/>
      <c r="AZ478" s="12"/>
      <c r="BA478" s="12"/>
      <c r="BB478" s="12"/>
      <c r="BC478" s="12"/>
      <c r="BD478" s="12"/>
      <c r="BE478" s="12"/>
      <c r="BF478" s="12"/>
      <c r="BG478" s="12"/>
      <c r="BH478" s="12"/>
      <c r="BI478" s="12"/>
      <c r="BJ478" s="12"/>
      <c r="BK478" s="12"/>
      <c r="BL478" s="12"/>
      <c r="BM478" s="12"/>
      <c r="BN478" s="12"/>
      <c r="BO478" s="12"/>
      <c r="BP478" s="12"/>
      <c r="BQ478" s="12"/>
      <c r="BR478" s="12"/>
      <c r="BS478" s="12"/>
      <c r="BT478" s="12"/>
      <c r="BU478" s="12"/>
      <c r="BV478" s="12"/>
      <c r="BW478" s="12"/>
      <c r="BX478" s="12"/>
      <c r="BY478" s="12"/>
      <c r="BZ478" s="12"/>
      <c r="CA478" s="12"/>
    </row>
    <row r="479" spans="1:79" x14ac:dyDescent="0.3">
      <c r="A479" s="8">
        <v>1</v>
      </c>
      <c r="B479" s="8" t="s">
        <v>959</v>
      </c>
      <c r="C479" s="8">
        <v>5</v>
      </c>
      <c r="D479" s="8">
        <v>520</v>
      </c>
      <c r="E479" s="8" t="s">
        <v>950</v>
      </c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12"/>
      <c r="AW479" s="12"/>
      <c r="AX479" s="12"/>
      <c r="AY479" s="12"/>
      <c r="AZ479" s="12"/>
      <c r="BA479" s="12"/>
      <c r="BB479" s="12"/>
      <c r="BC479" s="12"/>
      <c r="BD479" s="12"/>
      <c r="BE479" s="12"/>
      <c r="BF479" s="12"/>
      <c r="BG479" s="12"/>
      <c r="BH479" s="12"/>
      <c r="BI479" s="12"/>
      <c r="BJ479" s="12"/>
      <c r="BK479" s="12"/>
      <c r="BL479" s="12"/>
      <c r="BM479" s="12"/>
      <c r="BN479" s="12"/>
      <c r="BO479" s="12"/>
      <c r="BP479" s="12"/>
      <c r="BQ479" s="12"/>
      <c r="BR479" s="12"/>
      <c r="BS479" s="12"/>
      <c r="BT479" s="12"/>
      <c r="BU479" s="12"/>
      <c r="BV479" s="12"/>
      <c r="BW479" s="12"/>
      <c r="BX479" s="12"/>
      <c r="BY479" s="12"/>
      <c r="BZ479" s="12"/>
      <c r="CA479" s="12"/>
    </row>
    <row r="480" spans="1:79" x14ac:dyDescent="0.3">
      <c r="A480" s="8">
        <v>1</v>
      </c>
      <c r="B480" s="8" t="s">
        <v>959</v>
      </c>
      <c r="C480" s="8">
        <v>5</v>
      </c>
      <c r="D480" s="8">
        <v>521</v>
      </c>
      <c r="E480" s="8" t="s">
        <v>950</v>
      </c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12"/>
      <c r="AW480" s="12"/>
      <c r="AX480" s="12"/>
      <c r="AY480" s="12"/>
      <c r="AZ480" s="12"/>
      <c r="BA480" s="12"/>
      <c r="BB480" s="12"/>
      <c r="BC480" s="12"/>
      <c r="BD480" s="12"/>
      <c r="BE480" s="12"/>
      <c r="BF480" s="12"/>
      <c r="BG480" s="12"/>
      <c r="BH480" s="12"/>
      <c r="BI480" s="12"/>
      <c r="BJ480" s="12"/>
      <c r="BK480" s="12"/>
      <c r="BL480" s="12"/>
      <c r="BM480" s="12"/>
      <c r="BN480" s="12"/>
      <c r="BO480" s="12"/>
      <c r="BP480" s="12"/>
      <c r="BQ480" s="12"/>
      <c r="BR480" s="12"/>
      <c r="BS480" s="12"/>
      <c r="BT480" s="12"/>
      <c r="BU480" s="12"/>
      <c r="BV480" s="12"/>
      <c r="BW480" s="12"/>
      <c r="BX480" s="12"/>
      <c r="BY480" s="12"/>
      <c r="BZ480" s="12"/>
      <c r="CA480" s="12"/>
    </row>
    <row r="481" spans="1:79" x14ac:dyDescent="0.3">
      <c r="A481" s="8">
        <v>1</v>
      </c>
      <c r="B481" s="8" t="s">
        <v>959</v>
      </c>
      <c r="C481" s="8">
        <v>5</v>
      </c>
      <c r="D481" s="8">
        <v>522</v>
      </c>
      <c r="E481" s="8" t="s">
        <v>951</v>
      </c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12"/>
      <c r="AW481" s="12"/>
      <c r="AX481" s="12"/>
      <c r="AY481" s="12"/>
      <c r="AZ481" s="12"/>
      <c r="BA481" s="12"/>
      <c r="BB481" s="12"/>
      <c r="BC481" s="12"/>
      <c r="BD481" s="12"/>
      <c r="BE481" s="12"/>
      <c r="BF481" s="12"/>
      <c r="BG481" s="12"/>
      <c r="BH481" s="12"/>
      <c r="BI481" s="12"/>
      <c r="BJ481" s="12"/>
      <c r="BK481" s="12"/>
      <c r="BL481" s="12"/>
      <c r="BM481" s="12"/>
      <c r="BN481" s="12"/>
      <c r="BO481" s="12"/>
      <c r="BP481" s="12"/>
      <c r="BQ481" s="12"/>
      <c r="BR481" s="12"/>
      <c r="BS481" s="12"/>
      <c r="BT481" s="12"/>
      <c r="BU481" s="12"/>
      <c r="BV481" s="12"/>
      <c r="BW481" s="12"/>
      <c r="BX481" s="12"/>
      <c r="BY481" s="12"/>
      <c r="BZ481" s="12"/>
      <c r="CA481" s="12"/>
    </row>
    <row r="482" spans="1:79" x14ac:dyDescent="0.3">
      <c r="A482" s="8">
        <v>1</v>
      </c>
      <c r="B482" s="8" t="s">
        <v>959</v>
      </c>
      <c r="C482" s="8">
        <v>5</v>
      </c>
      <c r="D482" s="8">
        <v>523</v>
      </c>
      <c r="E482" s="8" t="s">
        <v>951</v>
      </c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12"/>
      <c r="AW482" s="12"/>
      <c r="AX482" s="12"/>
      <c r="AY482" s="12"/>
      <c r="AZ482" s="12"/>
      <c r="BA482" s="12"/>
      <c r="BB482" s="12"/>
      <c r="BC482" s="12"/>
      <c r="BD482" s="12"/>
      <c r="BE482" s="12"/>
      <c r="BF482" s="12"/>
      <c r="BG482" s="12"/>
      <c r="BH482" s="12"/>
      <c r="BI482" s="12"/>
      <c r="BJ482" s="12"/>
      <c r="BK482" s="12"/>
      <c r="BL482" s="12"/>
      <c r="BM482" s="12"/>
      <c r="BN482" s="12"/>
      <c r="BO482" s="12"/>
      <c r="BP482" s="12"/>
      <c r="BQ482" s="12"/>
      <c r="BR482" s="12"/>
      <c r="BS482" s="12"/>
      <c r="BT482" s="12"/>
      <c r="BU482" s="12"/>
      <c r="BV482" s="12"/>
      <c r="BW482" s="12"/>
      <c r="BX482" s="12"/>
      <c r="BY482" s="12"/>
      <c r="BZ482" s="12"/>
      <c r="CA482" s="12"/>
    </row>
    <row r="483" spans="1:79" x14ac:dyDescent="0.3">
      <c r="A483" s="8">
        <v>2</v>
      </c>
      <c r="B483" s="8" t="s">
        <v>959</v>
      </c>
      <c r="C483" s="8">
        <v>5</v>
      </c>
      <c r="D483" s="8">
        <v>524</v>
      </c>
      <c r="E483" s="8" t="s">
        <v>951</v>
      </c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12"/>
      <c r="AW483" s="12"/>
      <c r="AX483" s="12"/>
      <c r="AY483" s="12"/>
      <c r="AZ483" s="12"/>
      <c r="BA483" s="12"/>
      <c r="BB483" s="12"/>
      <c r="BC483" s="12"/>
      <c r="BD483" s="12"/>
      <c r="BE483" s="12"/>
      <c r="BF483" s="12"/>
      <c r="BG483" s="12"/>
      <c r="BH483" s="12"/>
      <c r="BI483" s="12"/>
      <c r="BJ483" s="12"/>
      <c r="BK483" s="12"/>
      <c r="BL483" s="12"/>
      <c r="BM483" s="12"/>
      <c r="BN483" s="12"/>
      <c r="BO483" s="12"/>
      <c r="BP483" s="12"/>
      <c r="BQ483" s="12"/>
      <c r="BR483" s="12"/>
      <c r="BS483" s="12"/>
      <c r="BT483" s="12"/>
      <c r="BU483" s="12"/>
      <c r="BV483" s="12"/>
      <c r="BW483" s="12"/>
      <c r="BX483" s="12"/>
      <c r="BY483" s="12"/>
      <c r="BZ483" s="12"/>
      <c r="CA483" s="12"/>
    </row>
    <row r="484" spans="1:79" x14ac:dyDescent="0.3">
      <c r="A484" s="8">
        <v>2</v>
      </c>
      <c r="B484" s="8" t="s">
        <v>959</v>
      </c>
      <c r="C484" s="8">
        <v>5</v>
      </c>
      <c r="D484" s="8">
        <v>525</v>
      </c>
      <c r="E484" s="8" t="s">
        <v>951</v>
      </c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12"/>
      <c r="AW484" s="12"/>
      <c r="AX484" s="12"/>
      <c r="AY484" s="12"/>
      <c r="AZ484" s="12"/>
      <c r="BA484" s="12"/>
      <c r="BB484" s="12"/>
      <c r="BC484" s="12"/>
      <c r="BD484" s="12"/>
      <c r="BE484" s="12"/>
      <c r="BF484" s="12"/>
      <c r="BG484" s="12"/>
      <c r="BH484" s="12"/>
      <c r="BI484" s="12"/>
      <c r="BJ484" s="12"/>
      <c r="BK484" s="12"/>
      <c r="BL484" s="12"/>
      <c r="BM484" s="12"/>
      <c r="BN484" s="12"/>
      <c r="BO484" s="12"/>
      <c r="BP484" s="12"/>
      <c r="BQ484" s="12"/>
      <c r="BR484" s="12"/>
      <c r="BS484" s="12"/>
      <c r="BT484" s="12"/>
      <c r="BU484" s="12"/>
      <c r="BV484" s="12"/>
      <c r="BW484" s="12"/>
      <c r="BX484" s="12"/>
      <c r="BY484" s="12"/>
      <c r="BZ484" s="12"/>
      <c r="CA484" s="12"/>
    </row>
    <row r="485" spans="1:79" x14ac:dyDescent="0.3">
      <c r="A485" s="8">
        <v>2</v>
      </c>
      <c r="B485" s="8" t="s">
        <v>959</v>
      </c>
      <c r="C485" s="8">
        <v>1</v>
      </c>
      <c r="D485" s="8">
        <v>526</v>
      </c>
      <c r="E485" s="8" t="s">
        <v>951</v>
      </c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12"/>
      <c r="AW485" s="12"/>
      <c r="AX485" s="12"/>
      <c r="AY485" s="12"/>
      <c r="AZ485" s="12"/>
      <c r="BA485" s="12"/>
      <c r="BB485" s="12"/>
      <c r="BC485" s="12"/>
      <c r="BD485" s="12"/>
      <c r="BE485" s="12"/>
      <c r="BF485" s="12"/>
      <c r="BG485" s="12"/>
      <c r="BH485" s="12"/>
      <c r="BI485" s="12"/>
      <c r="BJ485" s="12"/>
      <c r="BK485" s="12"/>
      <c r="BL485" s="12"/>
      <c r="BM485" s="12"/>
      <c r="BN485" s="12"/>
      <c r="BO485" s="12"/>
      <c r="BP485" s="12"/>
      <c r="BQ485" s="12"/>
      <c r="BR485" s="12"/>
      <c r="BS485" s="12"/>
      <c r="BT485" s="12"/>
      <c r="BU485" s="12"/>
      <c r="BV485" s="12"/>
      <c r="BW485" s="12"/>
      <c r="BX485" s="12"/>
      <c r="BY485" s="12"/>
      <c r="BZ485" s="12"/>
      <c r="CA485" s="12"/>
    </row>
    <row r="486" spans="1:79" x14ac:dyDescent="0.3">
      <c r="A486" s="8">
        <v>2</v>
      </c>
      <c r="B486" s="8" t="s">
        <v>959</v>
      </c>
      <c r="C486" s="8">
        <v>1</v>
      </c>
      <c r="D486" s="8">
        <v>527</v>
      </c>
      <c r="E486" s="8" t="s">
        <v>950</v>
      </c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12"/>
      <c r="AW486" s="12"/>
      <c r="AX486" s="12"/>
      <c r="AY486" s="12"/>
      <c r="AZ486" s="12"/>
      <c r="BA486" s="12"/>
      <c r="BB486" s="12"/>
      <c r="BC486" s="12"/>
      <c r="BD486" s="12"/>
      <c r="BE486" s="12"/>
      <c r="BF486" s="12"/>
      <c r="BG486" s="12"/>
      <c r="BH486" s="12"/>
      <c r="BI486" s="12"/>
      <c r="BJ486" s="12"/>
      <c r="BK486" s="12"/>
      <c r="BL486" s="12"/>
      <c r="BM486" s="12"/>
      <c r="BN486" s="12"/>
      <c r="BO486" s="12"/>
      <c r="BP486" s="12"/>
      <c r="BQ486" s="12"/>
      <c r="BR486" s="12"/>
      <c r="BS486" s="12"/>
      <c r="BT486" s="12"/>
      <c r="BU486" s="12"/>
      <c r="BV486" s="12"/>
      <c r="BW486" s="12"/>
      <c r="BX486" s="12"/>
      <c r="BY486" s="12"/>
      <c r="BZ486" s="12"/>
      <c r="CA486" s="12"/>
    </row>
    <row r="487" spans="1:79" x14ac:dyDescent="0.3">
      <c r="A487" s="8">
        <v>2</v>
      </c>
      <c r="B487" s="8" t="s">
        <v>959</v>
      </c>
      <c r="C487" s="8">
        <v>1</v>
      </c>
      <c r="D487" s="8">
        <v>528</v>
      </c>
      <c r="E487" s="8" t="s">
        <v>950</v>
      </c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12"/>
      <c r="AW487" s="12"/>
      <c r="AX487" s="12"/>
      <c r="AY487" s="12"/>
      <c r="AZ487" s="12"/>
      <c r="BA487" s="12"/>
      <c r="BB487" s="12"/>
      <c r="BC487" s="12"/>
      <c r="BD487" s="12"/>
      <c r="BE487" s="12"/>
      <c r="BF487" s="12"/>
      <c r="BG487" s="12"/>
      <c r="BH487" s="12"/>
      <c r="BI487" s="12"/>
      <c r="BJ487" s="12"/>
      <c r="BK487" s="12"/>
      <c r="BL487" s="12"/>
      <c r="BM487" s="12"/>
      <c r="BN487" s="12"/>
      <c r="BO487" s="12"/>
      <c r="BP487" s="12"/>
      <c r="BQ487" s="12"/>
      <c r="BR487" s="12"/>
      <c r="BS487" s="12"/>
      <c r="BT487" s="12"/>
      <c r="BU487" s="12"/>
      <c r="BV487" s="12"/>
      <c r="BW487" s="12"/>
      <c r="BX487" s="12"/>
      <c r="BY487" s="12"/>
      <c r="BZ487" s="12"/>
      <c r="CA487" s="12"/>
    </row>
    <row r="488" spans="1:79" x14ac:dyDescent="0.3">
      <c r="A488" s="8">
        <v>2</v>
      </c>
      <c r="B488" s="8" t="s">
        <v>959</v>
      </c>
      <c r="C488" s="8">
        <v>1</v>
      </c>
      <c r="D488" s="8">
        <v>529</v>
      </c>
      <c r="E488" s="8" t="s">
        <v>951</v>
      </c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12"/>
      <c r="AW488" s="12"/>
      <c r="AX488" s="12"/>
      <c r="AY488" s="12"/>
      <c r="AZ488" s="12"/>
      <c r="BA488" s="12"/>
      <c r="BB488" s="12"/>
      <c r="BC488" s="12"/>
      <c r="BD488" s="12"/>
      <c r="BE488" s="12"/>
      <c r="BF488" s="12"/>
      <c r="BG488" s="12"/>
      <c r="BH488" s="12"/>
      <c r="BI488" s="12"/>
      <c r="BJ488" s="12"/>
      <c r="BK488" s="12"/>
      <c r="BL488" s="12"/>
      <c r="BM488" s="12"/>
      <c r="BN488" s="12"/>
      <c r="BO488" s="12"/>
      <c r="BP488" s="12"/>
      <c r="BQ488" s="12"/>
      <c r="BR488" s="12"/>
      <c r="BS488" s="12"/>
      <c r="BT488" s="12"/>
      <c r="BU488" s="12"/>
      <c r="BV488" s="12"/>
      <c r="BW488" s="12"/>
      <c r="BX488" s="12"/>
      <c r="BY488" s="12"/>
      <c r="BZ488" s="12"/>
      <c r="CA488" s="12"/>
    </row>
    <row r="489" spans="1:79" x14ac:dyDescent="0.3">
      <c r="A489" s="8">
        <v>2</v>
      </c>
      <c r="B489" s="8" t="s">
        <v>959</v>
      </c>
      <c r="C489" s="8">
        <v>1</v>
      </c>
      <c r="D489" s="8">
        <v>530</v>
      </c>
      <c r="E489" s="8" t="s">
        <v>950</v>
      </c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12"/>
      <c r="AW489" s="12"/>
      <c r="AX489" s="12"/>
      <c r="AY489" s="12"/>
      <c r="AZ489" s="12"/>
      <c r="BA489" s="12"/>
      <c r="BB489" s="12"/>
      <c r="BC489" s="12"/>
      <c r="BD489" s="12"/>
      <c r="BE489" s="12"/>
      <c r="BF489" s="12"/>
      <c r="BG489" s="12"/>
      <c r="BH489" s="12"/>
      <c r="BI489" s="12"/>
      <c r="BJ489" s="12"/>
      <c r="BK489" s="12"/>
      <c r="BL489" s="12"/>
      <c r="BM489" s="12"/>
      <c r="BN489" s="12"/>
      <c r="BO489" s="12"/>
      <c r="BP489" s="12"/>
      <c r="BQ489" s="12"/>
      <c r="BR489" s="12"/>
      <c r="BS489" s="12"/>
      <c r="BT489" s="12"/>
      <c r="BU489" s="12"/>
      <c r="BV489" s="12"/>
      <c r="BW489" s="12"/>
      <c r="BX489" s="12"/>
      <c r="BY489" s="12"/>
      <c r="BZ489" s="12"/>
      <c r="CA489" s="12"/>
    </row>
    <row r="490" spans="1:79" x14ac:dyDescent="0.3">
      <c r="A490" s="8">
        <v>2</v>
      </c>
      <c r="B490" s="8" t="s">
        <v>959</v>
      </c>
      <c r="C490" s="8">
        <v>1</v>
      </c>
      <c r="D490" s="8">
        <v>531</v>
      </c>
      <c r="E490" s="8" t="s">
        <v>950</v>
      </c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12"/>
      <c r="AW490" s="12"/>
      <c r="AX490" s="12"/>
      <c r="AY490" s="12"/>
      <c r="AZ490" s="12"/>
      <c r="BA490" s="12"/>
      <c r="BB490" s="12"/>
      <c r="BC490" s="12"/>
      <c r="BD490" s="12"/>
      <c r="BE490" s="12"/>
      <c r="BF490" s="12"/>
      <c r="BG490" s="12"/>
      <c r="BH490" s="12"/>
      <c r="BI490" s="12"/>
      <c r="BJ490" s="12"/>
      <c r="BK490" s="12"/>
      <c r="BL490" s="12"/>
      <c r="BM490" s="12"/>
      <c r="BN490" s="12"/>
      <c r="BO490" s="12"/>
      <c r="BP490" s="12"/>
      <c r="BQ490" s="12"/>
      <c r="BR490" s="12"/>
      <c r="BS490" s="12"/>
      <c r="BT490" s="12"/>
      <c r="BU490" s="12"/>
      <c r="BV490" s="12"/>
      <c r="BW490" s="12"/>
      <c r="BX490" s="12"/>
      <c r="BY490" s="12"/>
      <c r="BZ490" s="12"/>
      <c r="CA490" s="12"/>
    </row>
    <row r="491" spans="1:79" x14ac:dyDescent="0.3">
      <c r="A491" s="8">
        <v>2</v>
      </c>
      <c r="B491" s="8" t="s">
        <v>959</v>
      </c>
      <c r="C491" s="8">
        <v>1</v>
      </c>
      <c r="D491" s="8">
        <v>532</v>
      </c>
      <c r="E491" s="8" t="s">
        <v>951</v>
      </c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12"/>
      <c r="AW491" s="12"/>
      <c r="AX491" s="12"/>
      <c r="AY491" s="12"/>
      <c r="AZ491" s="12"/>
      <c r="BA491" s="12"/>
      <c r="BB491" s="12"/>
      <c r="BC491" s="12"/>
      <c r="BD491" s="12"/>
      <c r="BE491" s="12"/>
      <c r="BF491" s="12"/>
      <c r="BG491" s="12"/>
      <c r="BH491" s="12"/>
      <c r="BI491" s="12"/>
      <c r="BJ491" s="12"/>
      <c r="BK491" s="12"/>
      <c r="BL491" s="12"/>
      <c r="BM491" s="12"/>
      <c r="BN491" s="12"/>
      <c r="BO491" s="12"/>
      <c r="BP491" s="12"/>
      <c r="BQ491" s="12"/>
      <c r="BR491" s="12"/>
      <c r="BS491" s="12"/>
      <c r="BT491" s="12"/>
      <c r="BU491" s="12"/>
      <c r="BV491" s="12"/>
      <c r="BW491" s="12"/>
      <c r="BX491" s="12"/>
      <c r="BY491" s="12"/>
      <c r="BZ491" s="12"/>
      <c r="CA491" s="12"/>
    </row>
    <row r="492" spans="1:79" x14ac:dyDescent="0.3">
      <c r="A492" s="8">
        <v>2</v>
      </c>
      <c r="B492" s="8" t="s">
        <v>959</v>
      </c>
      <c r="C492" s="8">
        <v>1</v>
      </c>
      <c r="D492" s="8">
        <v>533</v>
      </c>
      <c r="E492" s="8" t="s">
        <v>951</v>
      </c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12"/>
      <c r="AW492" s="12"/>
      <c r="AX492" s="12"/>
      <c r="AY492" s="12"/>
      <c r="AZ492" s="12"/>
      <c r="BA492" s="12"/>
      <c r="BB492" s="12"/>
      <c r="BC492" s="12"/>
      <c r="BD492" s="12"/>
      <c r="BE492" s="12"/>
      <c r="BF492" s="12"/>
      <c r="BG492" s="12"/>
      <c r="BH492" s="12"/>
      <c r="BI492" s="12"/>
      <c r="BJ492" s="12"/>
      <c r="BK492" s="12"/>
      <c r="BL492" s="12"/>
      <c r="BM492" s="12"/>
      <c r="BN492" s="12"/>
      <c r="BO492" s="12"/>
      <c r="BP492" s="12"/>
      <c r="BQ492" s="12"/>
      <c r="BR492" s="12"/>
      <c r="BS492" s="12"/>
      <c r="BT492" s="12"/>
      <c r="BU492" s="12"/>
      <c r="BV492" s="12"/>
      <c r="BW492" s="12"/>
      <c r="BX492" s="12"/>
      <c r="BY492" s="12"/>
      <c r="BZ492" s="12"/>
      <c r="CA492" s="12"/>
    </row>
    <row r="493" spans="1:79" x14ac:dyDescent="0.3">
      <c r="A493" s="8">
        <v>2</v>
      </c>
      <c r="B493" s="8" t="s">
        <v>959</v>
      </c>
      <c r="C493" s="8">
        <v>1</v>
      </c>
      <c r="D493" s="8">
        <v>534</v>
      </c>
      <c r="E493" s="8" t="s">
        <v>951</v>
      </c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12"/>
      <c r="AW493" s="12"/>
      <c r="AX493" s="12"/>
      <c r="AY493" s="12"/>
      <c r="AZ493" s="12"/>
      <c r="BA493" s="12"/>
      <c r="BB493" s="12"/>
      <c r="BC493" s="12"/>
      <c r="BD493" s="12"/>
      <c r="BE493" s="12"/>
      <c r="BF493" s="12"/>
      <c r="BG493" s="12"/>
      <c r="BH493" s="12"/>
      <c r="BI493" s="12"/>
      <c r="BJ493" s="12"/>
      <c r="BK493" s="12"/>
      <c r="BL493" s="12"/>
      <c r="BM493" s="12"/>
      <c r="BN493" s="12"/>
      <c r="BO493" s="12"/>
      <c r="BP493" s="12"/>
      <c r="BQ493" s="12"/>
      <c r="BR493" s="12"/>
      <c r="BS493" s="12"/>
      <c r="BT493" s="12"/>
      <c r="BU493" s="12"/>
      <c r="BV493" s="12"/>
      <c r="BW493" s="12"/>
      <c r="BX493" s="12"/>
      <c r="BY493" s="12"/>
      <c r="BZ493" s="12"/>
      <c r="CA493" s="12"/>
    </row>
    <row r="494" spans="1:79" x14ac:dyDescent="0.3">
      <c r="A494" s="8">
        <v>2</v>
      </c>
      <c r="B494" s="8" t="s">
        <v>959</v>
      </c>
      <c r="C494" s="8">
        <v>1</v>
      </c>
      <c r="D494" s="8">
        <v>535</v>
      </c>
      <c r="E494" s="8" t="s">
        <v>951</v>
      </c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12"/>
      <c r="AW494" s="12"/>
      <c r="AX494" s="12"/>
      <c r="AY494" s="12"/>
      <c r="AZ494" s="12"/>
      <c r="BA494" s="12"/>
      <c r="BB494" s="12"/>
      <c r="BC494" s="12"/>
      <c r="BD494" s="12"/>
      <c r="BE494" s="12"/>
      <c r="BF494" s="12"/>
      <c r="BG494" s="12"/>
      <c r="BH494" s="12"/>
      <c r="BI494" s="12"/>
      <c r="BJ494" s="12"/>
      <c r="BK494" s="12"/>
      <c r="BL494" s="12"/>
      <c r="BM494" s="12"/>
      <c r="BN494" s="12"/>
      <c r="BO494" s="12"/>
      <c r="BP494" s="12"/>
      <c r="BQ494" s="12"/>
      <c r="BR494" s="12"/>
      <c r="BS494" s="12"/>
      <c r="BT494" s="12"/>
      <c r="BU494" s="12"/>
      <c r="BV494" s="12"/>
      <c r="BW494" s="12"/>
      <c r="BX494" s="12"/>
      <c r="BY494" s="12"/>
      <c r="BZ494" s="12"/>
      <c r="CA494" s="12"/>
    </row>
    <row r="495" spans="1:79" x14ac:dyDescent="0.3">
      <c r="A495" s="8">
        <v>2</v>
      </c>
      <c r="B495" s="8" t="s">
        <v>959</v>
      </c>
      <c r="C495" s="8">
        <v>1</v>
      </c>
      <c r="D495" s="8">
        <v>536</v>
      </c>
      <c r="E495" s="8" t="s">
        <v>950</v>
      </c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12"/>
      <c r="AW495" s="12"/>
      <c r="AX495" s="12"/>
      <c r="AY495" s="12"/>
      <c r="AZ495" s="12"/>
      <c r="BA495" s="12"/>
      <c r="BB495" s="12"/>
      <c r="BC495" s="12"/>
      <c r="BD495" s="12"/>
      <c r="BE495" s="12"/>
      <c r="BF495" s="12"/>
      <c r="BG495" s="12"/>
      <c r="BH495" s="12"/>
      <c r="BI495" s="12"/>
      <c r="BJ495" s="12"/>
      <c r="BK495" s="12"/>
      <c r="BL495" s="12"/>
      <c r="BM495" s="12"/>
      <c r="BN495" s="12"/>
      <c r="BO495" s="12"/>
      <c r="BP495" s="12"/>
      <c r="BQ495" s="12"/>
      <c r="BR495" s="12"/>
      <c r="BS495" s="12"/>
      <c r="BT495" s="12"/>
      <c r="BU495" s="12"/>
      <c r="BV495" s="12"/>
      <c r="BW495" s="12"/>
      <c r="BX495" s="12"/>
      <c r="BY495" s="12"/>
      <c r="BZ495" s="12"/>
      <c r="CA495" s="12"/>
    </row>
    <row r="496" spans="1:79" x14ac:dyDescent="0.3">
      <c r="A496" s="8">
        <v>2</v>
      </c>
      <c r="B496" s="8" t="s">
        <v>959</v>
      </c>
      <c r="C496" s="8">
        <v>1</v>
      </c>
      <c r="D496" s="8">
        <v>537</v>
      </c>
      <c r="E496" s="8" t="s">
        <v>951</v>
      </c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12"/>
      <c r="AW496" s="12"/>
      <c r="AX496" s="12"/>
      <c r="AY496" s="12"/>
      <c r="AZ496" s="12"/>
      <c r="BA496" s="12"/>
      <c r="BB496" s="12"/>
      <c r="BC496" s="12"/>
      <c r="BD496" s="12"/>
      <c r="BE496" s="12"/>
      <c r="BF496" s="12"/>
      <c r="BG496" s="12"/>
      <c r="BH496" s="12"/>
      <c r="BI496" s="12"/>
      <c r="BJ496" s="12"/>
      <c r="BK496" s="12"/>
      <c r="BL496" s="12"/>
      <c r="BM496" s="12"/>
      <c r="BN496" s="12"/>
      <c r="BO496" s="12"/>
      <c r="BP496" s="12"/>
      <c r="BQ496" s="12"/>
      <c r="BR496" s="12"/>
      <c r="BS496" s="12"/>
      <c r="BT496" s="12"/>
      <c r="BU496" s="12"/>
      <c r="BV496" s="12"/>
      <c r="BW496" s="12"/>
      <c r="BX496" s="12"/>
      <c r="BY496" s="12"/>
      <c r="BZ496" s="12"/>
      <c r="CA496" s="12"/>
    </row>
    <row r="497" spans="1:79" x14ac:dyDescent="0.3">
      <c r="A497" s="8">
        <v>2</v>
      </c>
      <c r="B497" s="8" t="s">
        <v>959</v>
      </c>
      <c r="C497" s="8">
        <v>1</v>
      </c>
      <c r="D497" s="8">
        <v>538</v>
      </c>
      <c r="E497" s="8" t="s">
        <v>951</v>
      </c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12"/>
      <c r="AW497" s="12"/>
      <c r="AX497" s="12"/>
      <c r="AY497" s="12"/>
      <c r="AZ497" s="12"/>
      <c r="BA497" s="12"/>
      <c r="BB497" s="12"/>
      <c r="BC497" s="12"/>
      <c r="BD497" s="12"/>
      <c r="BE497" s="12"/>
      <c r="BF497" s="12"/>
      <c r="BG497" s="12"/>
      <c r="BH497" s="12"/>
      <c r="BI497" s="12"/>
      <c r="BJ497" s="12"/>
      <c r="BK497" s="12"/>
      <c r="BL497" s="12"/>
      <c r="BM497" s="12"/>
      <c r="BN497" s="12"/>
      <c r="BO497" s="12"/>
      <c r="BP497" s="12"/>
      <c r="BQ497" s="12"/>
      <c r="BR497" s="12"/>
      <c r="BS497" s="12"/>
      <c r="BT497" s="12"/>
      <c r="BU497" s="12"/>
      <c r="BV497" s="12"/>
      <c r="BW497" s="12"/>
      <c r="BX497" s="12"/>
      <c r="BY497" s="12"/>
      <c r="BZ497" s="12"/>
      <c r="CA497" s="12"/>
    </row>
    <row r="498" spans="1:79" x14ac:dyDescent="0.3">
      <c r="A498" s="8">
        <v>2</v>
      </c>
      <c r="B498" s="8" t="s">
        <v>959</v>
      </c>
      <c r="C498" s="8">
        <v>1</v>
      </c>
      <c r="D498" s="8">
        <v>539</v>
      </c>
      <c r="E498" s="8" t="s">
        <v>951</v>
      </c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12"/>
      <c r="AW498" s="12"/>
      <c r="AX498" s="12"/>
      <c r="AY498" s="12"/>
      <c r="AZ498" s="12"/>
      <c r="BA498" s="12"/>
      <c r="BB498" s="12"/>
      <c r="BC498" s="12"/>
      <c r="BD498" s="12"/>
      <c r="BE498" s="12"/>
      <c r="BF498" s="12"/>
      <c r="BG498" s="12"/>
      <c r="BH498" s="12"/>
      <c r="BI498" s="12"/>
      <c r="BJ498" s="12"/>
      <c r="BK498" s="12"/>
      <c r="BL498" s="12"/>
      <c r="BM498" s="12"/>
      <c r="BN498" s="12"/>
      <c r="BO498" s="12"/>
      <c r="BP498" s="12"/>
      <c r="BQ498" s="12"/>
      <c r="BR498" s="12"/>
      <c r="BS498" s="12"/>
      <c r="BT498" s="12"/>
      <c r="BU498" s="12"/>
      <c r="BV498" s="12"/>
      <c r="BW498" s="12"/>
      <c r="BX498" s="12"/>
      <c r="BY498" s="12"/>
      <c r="BZ498" s="12"/>
      <c r="CA498" s="12"/>
    </row>
    <row r="499" spans="1:79" x14ac:dyDescent="0.3">
      <c r="A499" s="8">
        <v>2</v>
      </c>
      <c r="B499" s="8" t="s">
        <v>959</v>
      </c>
      <c r="C499" s="8">
        <v>1</v>
      </c>
      <c r="D499" s="8">
        <v>540</v>
      </c>
      <c r="E499" s="8" t="s">
        <v>951</v>
      </c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12"/>
      <c r="AW499" s="12"/>
      <c r="AX499" s="12"/>
      <c r="AY499" s="12"/>
      <c r="AZ499" s="12"/>
      <c r="BA499" s="12"/>
      <c r="BB499" s="12"/>
      <c r="BC499" s="12"/>
      <c r="BD499" s="12"/>
      <c r="BE499" s="12"/>
      <c r="BF499" s="12"/>
      <c r="BG499" s="12"/>
      <c r="BH499" s="12"/>
      <c r="BI499" s="12"/>
      <c r="BJ499" s="12"/>
      <c r="BK499" s="12"/>
      <c r="BL499" s="12"/>
      <c r="BM499" s="12"/>
      <c r="BN499" s="12"/>
      <c r="BO499" s="12"/>
      <c r="BP499" s="12"/>
      <c r="BQ499" s="12"/>
      <c r="BR499" s="12"/>
      <c r="BS499" s="12"/>
      <c r="BT499" s="12"/>
      <c r="BU499" s="12"/>
      <c r="BV499" s="12"/>
      <c r="BW499" s="12"/>
      <c r="BX499" s="12"/>
      <c r="BY499" s="12"/>
      <c r="BZ499" s="12"/>
      <c r="CA499" s="12"/>
    </row>
    <row r="500" spans="1:79" x14ac:dyDescent="0.3">
      <c r="A500" s="8">
        <v>2</v>
      </c>
      <c r="B500" s="8" t="s">
        <v>959</v>
      </c>
      <c r="C500" s="8">
        <v>1</v>
      </c>
      <c r="D500" s="8">
        <v>541</v>
      </c>
      <c r="E500" s="8" t="s">
        <v>951</v>
      </c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12"/>
      <c r="AW500" s="12"/>
      <c r="AX500" s="12"/>
      <c r="AY500" s="12"/>
      <c r="AZ500" s="12"/>
      <c r="BA500" s="12"/>
      <c r="BB500" s="12"/>
      <c r="BC500" s="12"/>
      <c r="BD500" s="12"/>
      <c r="BE500" s="12"/>
      <c r="BF500" s="12"/>
      <c r="BG500" s="12"/>
      <c r="BH500" s="12"/>
      <c r="BI500" s="12"/>
      <c r="BJ500" s="12"/>
      <c r="BK500" s="12"/>
      <c r="BL500" s="12"/>
      <c r="BM500" s="12"/>
      <c r="BN500" s="12"/>
      <c r="BO500" s="12"/>
      <c r="BP500" s="12"/>
      <c r="BQ500" s="12"/>
      <c r="BR500" s="12"/>
      <c r="BS500" s="12"/>
      <c r="BT500" s="12"/>
      <c r="BU500" s="12"/>
      <c r="BV500" s="12"/>
      <c r="BW500" s="12"/>
      <c r="BX500" s="12"/>
      <c r="BY500" s="12"/>
      <c r="BZ500" s="12"/>
      <c r="CA500" s="12"/>
    </row>
    <row r="501" spans="1:79" x14ac:dyDescent="0.3">
      <c r="A501" s="8">
        <v>2</v>
      </c>
      <c r="B501" s="8" t="s">
        <v>959</v>
      </c>
      <c r="C501" s="8">
        <v>1</v>
      </c>
      <c r="D501" s="8">
        <v>542</v>
      </c>
      <c r="E501" s="8" t="s">
        <v>951</v>
      </c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12"/>
      <c r="AW501" s="12"/>
      <c r="AX501" s="12"/>
      <c r="AY501" s="12"/>
      <c r="AZ501" s="12"/>
      <c r="BA501" s="12"/>
      <c r="BB501" s="12"/>
      <c r="BC501" s="12"/>
      <c r="BD501" s="12"/>
      <c r="BE501" s="12"/>
      <c r="BF501" s="12"/>
      <c r="BG501" s="12"/>
      <c r="BH501" s="12"/>
      <c r="BI501" s="12"/>
      <c r="BJ501" s="12"/>
      <c r="BK501" s="12"/>
      <c r="BL501" s="12"/>
      <c r="BM501" s="12"/>
      <c r="BN501" s="12"/>
      <c r="BO501" s="12"/>
      <c r="BP501" s="12"/>
      <c r="BQ501" s="12"/>
      <c r="BR501" s="12"/>
      <c r="BS501" s="12"/>
      <c r="BT501" s="12"/>
      <c r="BU501" s="12"/>
      <c r="BV501" s="12"/>
      <c r="BW501" s="12"/>
      <c r="BX501" s="12"/>
      <c r="BY501" s="12"/>
      <c r="BZ501" s="12"/>
      <c r="CA501" s="12"/>
    </row>
    <row r="502" spans="1:79" x14ac:dyDescent="0.3">
      <c r="A502" s="8">
        <v>2</v>
      </c>
      <c r="B502" s="8" t="s">
        <v>959</v>
      </c>
      <c r="C502" s="8">
        <v>1</v>
      </c>
      <c r="D502" s="8">
        <v>543</v>
      </c>
      <c r="E502" s="8" t="s">
        <v>951</v>
      </c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12"/>
      <c r="AW502" s="12"/>
      <c r="AX502" s="12"/>
      <c r="AY502" s="12"/>
      <c r="AZ502" s="12"/>
      <c r="BA502" s="12"/>
      <c r="BB502" s="12"/>
      <c r="BC502" s="12"/>
      <c r="BD502" s="12"/>
      <c r="BE502" s="12"/>
      <c r="BF502" s="12"/>
      <c r="BG502" s="12"/>
      <c r="BH502" s="12"/>
      <c r="BI502" s="12"/>
      <c r="BJ502" s="12"/>
      <c r="BK502" s="12"/>
      <c r="BL502" s="12"/>
      <c r="BM502" s="12"/>
      <c r="BN502" s="12"/>
      <c r="BO502" s="12"/>
      <c r="BP502" s="12"/>
      <c r="BQ502" s="12"/>
      <c r="BR502" s="12"/>
      <c r="BS502" s="12"/>
      <c r="BT502" s="12"/>
      <c r="BU502" s="12"/>
      <c r="BV502" s="12"/>
      <c r="BW502" s="12"/>
      <c r="BX502" s="12"/>
      <c r="BY502" s="12"/>
      <c r="BZ502" s="12"/>
      <c r="CA502" s="12"/>
    </row>
    <row r="503" spans="1:79" x14ac:dyDescent="0.3">
      <c r="A503" s="8">
        <v>2</v>
      </c>
      <c r="B503" s="8" t="s">
        <v>959</v>
      </c>
      <c r="C503" s="8">
        <v>1</v>
      </c>
      <c r="D503" s="8">
        <v>544</v>
      </c>
      <c r="E503" s="8" t="s">
        <v>950</v>
      </c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12"/>
      <c r="AW503" s="12"/>
      <c r="AX503" s="12"/>
      <c r="AY503" s="12"/>
      <c r="AZ503" s="12"/>
      <c r="BA503" s="12"/>
      <c r="BB503" s="12"/>
      <c r="BC503" s="12"/>
      <c r="BD503" s="12"/>
      <c r="BE503" s="12"/>
      <c r="BF503" s="12"/>
      <c r="BG503" s="12"/>
      <c r="BH503" s="12"/>
      <c r="BI503" s="12"/>
      <c r="BJ503" s="12"/>
      <c r="BK503" s="12"/>
      <c r="BL503" s="12"/>
      <c r="BM503" s="12"/>
      <c r="BN503" s="12"/>
      <c r="BO503" s="12"/>
      <c r="BP503" s="12"/>
      <c r="BQ503" s="12"/>
      <c r="BR503" s="12"/>
      <c r="BS503" s="12"/>
      <c r="BT503" s="12"/>
      <c r="BU503" s="12"/>
      <c r="BV503" s="12"/>
      <c r="BW503" s="12"/>
      <c r="BX503" s="12"/>
      <c r="BY503" s="12"/>
      <c r="BZ503" s="12"/>
      <c r="CA503" s="12"/>
    </row>
    <row r="504" spans="1:79" x14ac:dyDescent="0.3">
      <c r="A504" s="8">
        <v>3</v>
      </c>
      <c r="B504" s="8" t="s">
        <v>959</v>
      </c>
      <c r="C504" s="8">
        <v>1</v>
      </c>
      <c r="D504" s="8">
        <v>545</v>
      </c>
      <c r="E504" s="8" t="s">
        <v>950</v>
      </c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12"/>
      <c r="AW504" s="12"/>
      <c r="AX504" s="12"/>
      <c r="AY504" s="12"/>
      <c r="AZ504" s="12"/>
      <c r="BA504" s="12"/>
      <c r="BB504" s="12"/>
      <c r="BC504" s="12"/>
      <c r="BD504" s="12"/>
      <c r="BE504" s="12"/>
      <c r="BF504" s="12"/>
      <c r="BG504" s="12"/>
      <c r="BH504" s="12"/>
      <c r="BI504" s="12"/>
      <c r="BJ504" s="12"/>
      <c r="BK504" s="12"/>
      <c r="BL504" s="12"/>
      <c r="BM504" s="12"/>
      <c r="BN504" s="12"/>
      <c r="BO504" s="12"/>
      <c r="BP504" s="12"/>
      <c r="BQ504" s="12"/>
      <c r="BR504" s="12"/>
      <c r="BS504" s="12"/>
      <c r="BT504" s="12"/>
      <c r="BU504" s="12"/>
      <c r="BV504" s="12"/>
      <c r="BW504" s="12"/>
      <c r="BX504" s="12"/>
      <c r="BY504" s="12"/>
      <c r="BZ504" s="12"/>
      <c r="CA504" s="12"/>
    </row>
    <row r="505" spans="1:79" x14ac:dyDescent="0.3">
      <c r="A505" s="8">
        <v>3</v>
      </c>
      <c r="B505" s="8" t="s">
        <v>959</v>
      </c>
      <c r="C505" s="8">
        <v>1</v>
      </c>
      <c r="D505" s="8">
        <v>546</v>
      </c>
      <c r="E505" s="8" t="s">
        <v>950</v>
      </c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12"/>
      <c r="AW505" s="12"/>
      <c r="AX505" s="12"/>
      <c r="AY505" s="12"/>
      <c r="AZ505" s="12"/>
      <c r="BA505" s="12"/>
      <c r="BB505" s="12"/>
      <c r="BC505" s="12"/>
      <c r="BD505" s="12"/>
      <c r="BE505" s="12"/>
      <c r="BF505" s="12"/>
      <c r="BG505" s="12"/>
      <c r="BH505" s="12"/>
      <c r="BI505" s="12"/>
      <c r="BJ505" s="12"/>
      <c r="BK505" s="12"/>
      <c r="BL505" s="12"/>
      <c r="BM505" s="12"/>
      <c r="BN505" s="12"/>
      <c r="BO505" s="12"/>
      <c r="BP505" s="12"/>
      <c r="BQ505" s="12"/>
      <c r="BR505" s="12"/>
      <c r="BS505" s="12"/>
      <c r="BT505" s="12"/>
      <c r="BU505" s="12"/>
      <c r="BV505" s="12"/>
      <c r="BW505" s="12"/>
      <c r="BX505" s="12"/>
      <c r="BY505" s="12"/>
      <c r="BZ505" s="12"/>
      <c r="CA505" s="12"/>
    </row>
    <row r="506" spans="1:79" x14ac:dyDescent="0.3">
      <c r="A506" s="8">
        <v>3</v>
      </c>
      <c r="B506" s="8" t="s">
        <v>959</v>
      </c>
      <c r="C506" s="8">
        <v>6</v>
      </c>
      <c r="D506" s="8">
        <v>547</v>
      </c>
      <c r="E506" s="8" t="s">
        <v>951</v>
      </c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12"/>
      <c r="AW506" s="12"/>
      <c r="AX506" s="12"/>
      <c r="AY506" s="12"/>
      <c r="AZ506" s="12"/>
      <c r="BA506" s="12"/>
      <c r="BB506" s="12"/>
      <c r="BC506" s="12"/>
      <c r="BD506" s="12"/>
      <c r="BE506" s="12"/>
      <c r="BF506" s="12"/>
      <c r="BG506" s="12"/>
      <c r="BH506" s="12"/>
      <c r="BI506" s="12"/>
      <c r="BJ506" s="12"/>
      <c r="BK506" s="12"/>
      <c r="BL506" s="12"/>
      <c r="BM506" s="12"/>
      <c r="BN506" s="12"/>
      <c r="BO506" s="12"/>
      <c r="BP506" s="12"/>
      <c r="BQ506" s="12"/>
      <c r="BR506" s="12"/>
      <c r="BS506" s="12"/>
      <c r="BT506" s="12"/>
      <c r="BU506" s="12"/>
      <c r="BV506" s="12"/>
      <c r="BW506" s="12"/>
      <c r="BX506" s="12"/>
      <c r="BY506" s="12"/>
      <c r="BZ506" s="12"/>
      <c r="CA506" s="12"/>
    </row>
    <row r="507" spans="1:79" x14ac:dyDescent="0.3">
      <c r="A507" s="8">
        <v>3</v>
      </c>
      <c r="B507" s="8" t="s">
        <v>959</v>
      </c>
      <c r="C507" s="8">
        <v>6</v>
      </c>
      <c r="D507" s="8">
        <v>548</v>
      </c>
      <c r="E507" s="8" t="s">
        <v>950</v>
      </c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12"/>
      <c r="AW507" s="12"/>
      <c r="AX507" s="12"/>
      <c r="AY507" s="12"/>
      <c r="AZ507" s="12"/>
      <c r="BA507" s="12"/>
      <c r="BB507" s="12"/>
      <c r="BC507" s="12"/>
      <c r="BD507" s="12"/>
      <c r="BE507" s="12"/>
      <c r="BF507" s="12"/>
      <c r="BG507" s="12"/>
      <c r="BH507" s="12"/>
      <c r="BI507" s="12"/>
      <c r="BJ507" s="12"/>
      <c r="BK507" s="12"/>
      <c r="BL507" s="12"/>
      <c r="BM507" s="12"/>
      <c r="BN507" s="12"/>
      <c r="BO507" s="12"/>
      <c r="BP507" s="12"/>
      <c r="BQ507" s="12"/>
      <c r="BR507" s="12"/>
      <c r="BS507" s="12"/>
      <c r="BT507" s="12"/>
      <c r="BU507" s="12"/>
      <c r="BV507" s="12"/>
      <c r="BW507" s="12"/>
      <c r="BX507" s="12"/>
      <c r="BY507" s="12"/>
      <c r="BZ507" s="12"/>
      <c r="CA507" s="12"/>
    </row>
    <row r="508" spans="1:79" x14ac:dyDescent="0.3">
      <c r="A508" s="8">
        <v>3</v>
      </c>
      <c r="B508" s="8" t="s">
        <v>959</v>
      </c>
      <c r="C508" s="8">
        <v>6</v>
      </c>
      <c r="D508" s="8">
        <v>549</v>
      </c>
      <c r="E508" s="8" t="s">
        <v>951</v>
      </c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12"/>
      <c r="AW508" s="12"/>
      <c r="AX508" s="12"/>
      <c r="AY508" s="12"/>
      <c r="AZ508" s="12"/>
      <c r="BA508" s="12"/>
      <c r="BB508" s="12"/>
      <c r="BC508" s="12"/>
      <c r="BD508" s="12"/>
      <c r="BE508" s="12"/>
      <c r="BF508" s="12"/>
      <c r="BG508" s="12"/>
      <c r="BH508" s="12"/>
      <c r="BI508" s="12"/>
      <c r="BJ508" s="12"/>
      <c r="BK508" s="12"/>
      <c r="BL508" s="12"/>
      <c r="BM508" s="12"/>
      <c r="BN508" s="12"/>
      <c r="BO508" s="12"/>
      <c r="BP508" s="12"/>
      <c r="BQ508" s="12"/>
      <c r="BR508" s="12"/>
      <c r="BS508" s="12"/>
      <c r="BT508" s="12"/>
      <c r="BU508" s="12"/>
      <c r="BV508" s="12"/>
      <c r="BW508" s="12"/>
      <c r="BX508" s="12"/>
      <c r="BY508" s="12"/>
      <c r="BZ508" s="12"/>
      <c r="CA508" s="12"/>
    </row>
    <row r="509" spans="1:79" x14ac:dyDescent="0.3">
      <c r="A509" s="8">
        <v>3</v>
      </c>
      <c r="B509" s="8" t="s">
        <v>959</v>
      </c>
      <c r="C509" s="8">
        <v>6</v>
      </c>
      <c r="D509" s="8">
        <v>550</v>
      </c>
      <c r="E509" s="8" t="s">
        <v>951</v>
      </c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12"/>
      <c r="AW509" s="12"/>
      <c r="AX509" s="12"/>
      <c r="AY509" s="12"/>
      <c r="AZ509" s="12"/>
      <c r="BA509" s="12"/>
      <c r="BB509" s="12"/>
      <c r="BC509" s="12"/>
      <c r="BD509" s="12"/>
      <c r="BE509" s="12"/>
      <c r="BF509" s="12"/>
      <c r="BG509" s="12"/>
      <c r="BH509" s="12"/>
      <c r="BI509" s="12"/>
      <c r="BJ509" s="12"/>
      <c r="BK509" s="12"/>
      <c r="BL509" s="12"/>
      <c r="BM509" s="12"/>
      <c r="BN509" s="12"/>
      <c r="BO509" s="12"/>
      <c r="BP509" s="12"/>
      <c r="BQ509" s="12"/>
      <c r="BR509" s="12"/>
      <c r="BS509" s="12"/>
      <c r="BT509" s="12"/>
      <c r="BU509" s="12"/>
      <c r="BV509" s="12"/>
      <c r="BW509" s="12"/>
      <c r="BX509" s="12"/>
      <c r="BY509" s="12"/>
      <c r="BZ509" s="12"/>
      <c r="CA509" s="12"/>
    </row>
    <row r="510" spans="1:79" x14ac:dyDescent="0.3">
      <c r="A510" s="8">
        <v>3</v>
      </c>
      <c r="B510" s="8" t="s">
        <v>959</v>
      </c>
      <c r="C510" s="8">
        <v>6</v>
      </c>
      <c r="D510" s="8">
        <v>551</v>
      </c>
      <c r="E510" s="8" t="s">
        <v>951</v>
      </c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12"/>
      <c r="AW510" s="12"/>
      <c r="AX510" s="12"/>
      <c r="AY510" s="12"/>
      <c r="AZ510" s="12"/>
      <c r="BA510" s="12"/>
      <c r="BB510" s="12"/>
      <c r="BC510" s="12"/>
      <c r="BD510" s="12"/>
      <c r="BE510" s="12"/>
      <c r="BF510" s="12"/>
      <c r="BG510" s="12"/>
      <c r="BH510" s="12"/>
      <c r="BI510" s="12"/>
      <c r="BJ510" s="12"/>
      <c r="BK510" s="12"/>
      <c r="BL510" s="12"/>
      <c r="BM510" s="12"/>
      <c r="BN510" s="12"/>
      <c r="BO510" s="12"/>
      <c r="BP510" s="12"/>
      <c r="BQ510" s="12"/>
      <c r="BR510" s="12"/>
      <c r="BS510" s="12"/>
      <c r="BT510" s="12"/>
      <c r="BU510" s="12"/>
      <c r="BV510" s="12"/>
      <c r="BW510" s="12"/>
      <c r="BX510" s="12"/>
      <c r="BY510" s="12"/>
      <c r="BZ510" s="12"/>
      <c r="CA510" s="12"/>
    </row>
    <row r="511" spans="1:79" x14ac:dyDescent="0.3">
      <c r="A511" s="8">
        <v>3</v>
      </c>
      <c r="B511" s="8" t="s">
        <v>959</v>
      </c>
      <c r="C511" s="8">
        <v>6</v>
      </c>
      <c r="D511" s="8">
        <v>552</v>
      </c>
      <c r="E511" s="8" t="s">
        <v>951</v>
      </c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12"/>
      <c r="AW511" s="12"/>
      <c r="AX511" s="12"/>
      <c r="AY511" s="12"/>
      <c r="AZ511" s="12"/>
      <c r="BA511" s="12"/>
      <c r="BB511" s="12"/>
      <c r="BC511" s="12"/>
      <c r="BD511" s="12"/>
      <c r="BE511" s="12"/>
      <c r="BF511" s="12"/>
      <c r="BG511" s="12"/>
      <c r="BH511" s="12"/>
      <c r="BI511" s="12"/>
      <c r="BJ511" s="12"/>
      <c r="BK511" s="12"/>
      <c r="BL511" s="12"/>
      <c r="BM511" s="12"/>
      <c r="BN511" s="12"/>
      <c r="BO511" s="12"/>
      <c r="BP511" s="12"/>
      <c r="BQ511" s="12"/>
      <c r="BR511" s="12"/>
      <c r="BS511" s="12"/>
      <c r="BT511" s="12"/>
      <c r="BU511" s="12"/>
      <c r="BV511" s="12"/>
      <c r="BW511" s="12"/>
      <c r="BX511" s="12"/>
      <c r="BY511" s="12"/>
      <c r="BZ511" s="12"/>
      <c r="CA511" s="12"/>
    </row>
    <row r="512" spans="1:79" x14ac:dyDescent="0.3">
      <c r="A512" s="8">
        <v>3</v>
      </c>
      <c r="B512" s="8" t="s">
        <v>959</v>
      </c>
      <c r="C512" s="8">
        <v>6</v>
      </c>
      <c r="D512" s="8">
        <v>553</v>
      </c>
      <c r="E512" s="8" t="s">
        <v>950</v>
      </c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12"/>
      <c r="AW512" s="12"/>
      <c r="AX512" s="12"/>
      <c r="AY512" s="12"/>
      <c r="AZ512" s="12"/>
      <c r="BA512" s="12"/>
      <c r="BB512" s="12"/>
      <c r="BC512" s="12"/>
      <c r="BD512" s="12"/>
      <c r="BE512" s="12"/>
      <c r="BF512" s="12"/>
      <c r="BG512" s="12"/>
      <c r="BH512" s="12"/>
      <c r="BI512" s="12"/>
      <c r="BJ512" s="12"/>
      <c r="BK512" s="12"/>
      <c r="BL512" s="12"/>
      <c r="BM512" s="12"/>
      <c r="BN512" s="12"/>
      <c r="BO512" s="12"/>
      <c r="BP512" s="12"/>
      <c r="BQ512" s="12"/>
      <c r="BR512" s="12"/>
      <c r="BS512" s="12"/>
      <c r="BT512" s="12"/>
      <c r="BU512" s="12"/>
      <c r="BV512" s="12"/>
      <c r="BW512" s="12"/>
      <c r="BX512" s="12"/>
      <c r="BY512" s="12"/>
      <c r="BZ512" s="12"/>
      <c r="CA512" s="12"/>
    </row>
    <row r="513" spans="1:79" x14ac:dyDescent="0.3">
      <c r="A513" s="8">
        <v>3</v>
      </c>
      <c r="B513" s="8" t="s">
        <v>959</v>
      </c>
      <c r="C513" s="8">
        <v>6</v>
      </c>
      <c r="D513" s="8">
        <v>554</v>
      </c>
      <c r="E513" s="8" t="s">
        <v>950</v>
      </c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12"/>
      <c r="AW513" s="12"/>
      <c r="AX513" s="12"/>
      <c r="AY513" s="12"/>
      <c r="AZ513" s="12"/>
      <c r="BA513" s="12"/>
      <c r="BB513" s="12"/>
      <c r="BC513" s="12"/>
      <c r="BD513" s="12"/>
      <c r="BE513" s="12"/>
      <c r="BF513" s="12"/>
      <c r="BG513" s="12"/>
      <c r="BH513" s="12"/>
      <c r="BI513" s="12"/>
      <c r="BJ513" s="12"/>
      <c r="BK513" s="12"/>
      <c r="BL513" s="12"/>
      <c r="BM513" s="12"/>
      <c r="BN513" s="12"/>
      <c r="BO513" s="12"/>
      <c r="BP513" s="12"/>
      <c r="BQ513" s="12"/>
      <c r="BR513" s="12"/>
      <c r="BS513" s="12"/>
      <c r="BT513" s="12"/>
      <c r="BU513" s="12"/>
      <c r="BV513" s="12"/>
      <c r="BW513" s="12"/>
      <c r="BX513" s="12"/>
      <c r="BY513" s="12"/>
      <c r="BZ513" s="12"/>
      <c r="CA513" s="12"/>
    </row>
    <row r="514" spans="1:79" x14ac:dyDescent="0.3">
      <c r="A514" s="8">
        <v>3</v>
      </c>
      <c r="B514" s="8" t="s">
        <v>959</v>
      </c>
      <c r="C514" s="8">
        <v>6</v>
      </c>
      <c r="D514" s="8">
        <v>555</v>
      </c>
      <c r="E514" s="8" t="s">
        <v>951</v>
      </c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12"/>
      <c r="AW514" s="12"/>
      <c r="AX514" s="12"/>
      <c r="AY514" s="12"/>
      <c r="AZ514" s="12"/>
      <c r="BA514" s="12"/>
      <c r="BB514" s="12"/>
      <c r="BC514" s="12"/>
      <c r="BD514" s="12"/>
      <c r="BE514" s="12"/>
      <c r="BF514" s="12"/>
      <c r="BG514" s="12"/>
      <c r="BH514" s="12"/>
      <c r="BI514" s="12"/>
      <c r="BJ514" s="12"/>
      <c r="BK514" s="12"/>
      <c r="BL514" s="12"/>
      <c r="BM514" s="12"/>
      <c r="BN514" s="12"/>
      <c r="BO514" s="12"/>
      <c r="BP514" s="12"/>
      <c r="BQ514" s="12"/>
      <c r="BR514" s="12"/>
      <c r="BS514" s="12"/>
      <c r="BT514" s="12"/>
      <c r="BU514" s="12"/>
      <c r="BV514" s="12"/>
      <c r="BW514" s="12"/>
      <c r="BX514" s="12"/>
      <c r="BY514" s="12"/>
      <c r="BZ514" s="12"/>
      <c r="CA514" s="12"/>
    </row>
    <row r="515" spans="1:79" x14ac:dyDescent="0.3">
      <c r="A515" s="8">
        <v>3</v>
      </c>
      <c r="B515" s="8" t="s">
        <v>959</v>
      </c>
      <c r="C515" s="8">
        <v>6</v>
      </c>
      <c r="D515" s="8">
        <v>556</v>
      </c>
      <c r="E515" s="8" t="s">
        <v>950</v>
      </c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12"/>
      <c r="AW515" s="12"/>
      <c r="AX515" s="12"/>
      <c r="AY515" s="12"/>
      <c r="AZ515" s="12"/>
      <c r="BA515" s="12"/>
      <c r="BB515" s="12"/>
      <c r="BC515" s="12"/>
      <c r="BD515" s="12"/>
      <c r="BE515" s="12"/>
      <c r="BF515" s="12"/>
      <c r="BG515" s="12"/>
      <c r="BH515" s="12"/>
      <c r="BI515" s="12"/>
      <c r="BJ515" s="12"/>
      <c r="BK515" s="12"/>
      <c r="BL515" s="12"/>
      <c r="BM515" s="12"/>
      <c r="BN515" s="12"/>
      <c r="BO515" s="12"/>
      <c r="BP515" s="12"/>
      <c r="BQ515" s="12"/>
      <c r="BR515" s="12"/>
      <c r="BS515" s="12"/>
      <c r="BT515" s="12"/>
      <c r="BU515" s="12"/>
      <c r="BV515" s="12"/>
      <c r="BW515" s="12"/>
      <c r="BX515" s="12"/>
      <c r="BY515" s="12"/>
      <c r="BZ515" s="12"/>
      <c r="CA515" s="12"/>
    </row>
    <row r="516" spans="1:79" x14ac:dyDescent="0.3">
      <c r="A516" s="8">
        <v>3</v>
      </c>
      <c r="B516" s="8" t="s">
        <v>959</v>
      </c>
      <c r="C516" s="8">
        <v>6</v>
      </c>
      <c r="D516" s="8">
        <v>557</v>
      </c>
      <c r="E516" s="8" t="s">
        <v>951</v>
      </c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12"/>
      <c r="AW516" s="12"/>
      <c r="AX516" s="12"/>
      <c r="AY516" s="12"/>
      <c r="AZ516" s="12"/>
      <c r="BA516" s="12"/>
      <c r="BB516" s="12"/>
      <c r="BC516" s="12"/>
      <c r="BD516" s="12"/>
      <c r="BE516" s="12"/>
      <c r="BF516" s="12"/>
      <c r="BG516" s="12"/>
      <c r="BH516" s="12"/>
      <c r="BI516" s="12"/>
      <c r="BJ516" s="12"/>
      <c r="BK516" s="12"/>
      <c r="BL516" s="12"/>
      <c r="BM516" s="12"/>
      <c r="BN516" s="12"/>
      <c r="BO516" s="12"/>
      <c r="BP516" s="12"/>
      <c r="BQ516" s="12"/>
      <c r="BR516" s="12"/>
      <c r="BS516" s="12"/>
      <c r="BT516" s="12"/>
      <c r="BU516" s="12"/>
      <c r="BV516" s="12"/>
      <c r="BW516" s="12"/>
      <c r="BX516" s="12"/>
      <c r="BY516" s="12"/>
      <c r="BZ516" s="12"/>
      <c r="CA516" s="12"/>
    </row>
    <row r="517" spans="1:79" x14ac:dyDescent="0.3">
      <c r="A517" s="8">
        <v>3</v>
      </c>
      <c r="B517" s="8" t="s">
        <v>959</v>
      </c>
      <c r="C517" s="8">
        <v>6</v>
      </c>
      <c r="D517" s="8">
        <v>558</v>
      </c>
      <c r="E517" s="8" t="s">
        <v>950</v>
      </c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12"/>
      <c r="AW517" s="12"/>
      <c r="AX517" s="12"/>
      <c r="AY517" s="12"/>
      <c r="AZ517" s="12"/>
      <c r="BA517" s="12"/>
      <c r="BB517" s="12"/>
      <c r="BC517" s="12"/>
      <c r="BD517" s="12"/>
      <c r="BE517" s="12"/>
      <c r="BF517" s="12"/>
      <c r="BG517" s="12"/>
      <c r="BH517" s="12"/>
      <c r="BI517" s="12"/>
      <c r="BJ517" s="12"/>
      <c r="BK517" s="12"/>
      <c r="BL517" s="12"/>
      <c r="BM517" s="12"/>
      <c r="BN517" s="12"/>
      <c r="BO517" s="12"/>
      <c r="BP517" s="12"/>
      <c r="BQ517" s="12"/>
      <c r="BR517" s="12"/>
      <c r="BS517" s="12"/>
      <c r="BT517" s="12"/>
      <c r="BU517" s="12"/>
      <c r="BV517" s="12"/>
      <c r="BW517" s="12"/>
      <c r="BX517" s="12"/>
      <c r="BY517" s="12"/>
      <c r="BZ517" s="12"/>
      <c r="CA517" s="12"/>
    </row>
    <row r="518" spans="1:79" x14ac:dyDescent="0.3">
      <c r="A518" s="8">
        <v>3</v>
      </c>
      <c r="B518" s="8" t="s">
        <v>959</v>
      </c>
      <c r="C518" s="8">
        <v>6</v>
      </c>
      <c r="D518" s="8">
        <v>559</v>
      </c>
      <c r="E518" s="8" t="s">
        <v>951</v>
      </c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12"/>
      <c r="AW518" s="12"/>
      <c r="AX518" s="12"/>
      <c r="AY518" s="12"/>
      <c r="AZ518" s="12"/>
      <c r="BA518" s="12"/>
      <c r="BB518" s="12"/>
      <c r="BC518" s="12"/>
      <c r="BD518" s="12"/>
      <c r="BE518" s="12"/>
      <c r="BF518" s="12"/>
      <c r="BG518" s="12"/>
      <c r="BH518" s="12"/>
      <c r="BI518" s="12"/>
      <c r="BJ518" s="12"/>
      <c r="BK518" s="12"/>
      <c r="BL518" s="12"/>
      <c r="BM518" s="12"/>
      <c r="BN518" s="12"/>
      <c r="BO518" s="12"/>
      <c r="BP518" s="12"/>
      <c r="BQ518" s="12"/>
      <c r="BR518" s="12"/>
      <c r="BS518" s="12"/>
      <c r="BT518" s="12"/>
      <c r="BU518" s="12"/>
      <c r="BV518" s="12"/>
      <c r="BW518" s="12"/>
      <c r="BX518" s="12"/>
      <c r="BY518" s="12"/>
      <c r="BZ518" s="12"/>
      <c r="CA518" s="12"/>
    </row>
    <row r="519" spans="1:79" x14ac:dyDescent="0.3">
      <c r="A519" s="8">
        <v>3</v>
      </c>
      <c r="B519" s="8" t="s">
        <v>959</v>
      </c>
      <c r="C519" s="8">
        <v>6</v>
      </c>
      <c r="D519" s="8">
        <v>560</v>
      </c>
      <c r="E519" s="8" t="s">
        <v>950</v>
      </c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12"/>
      <c r="AW519" s="12"/>
      <c r="AX519" s="12"/>
      <c r="AY519" s="12"/>
      <c r="AZ519" s="12"/>
      <c r="BA519" s="12"/>
      <c r="BB519" s="12"/>
      <c r="BC519" s="12"/>
      <c r="BD519" s="12"/>
      <c r="BE519" s="12"/>
      <c r="BF519" s="12"/>
      <c r="BG519" s="12"/>
      <c r="BH519" s="12"/>
      <c r="BI519" s="12"/>
      <c r="BJ519" s="12"/>
      <c r="BK519" s="12"/>
      <c r="BL519" s="12"/>
      <c r="BM519" s="12"/>
      <c r="BN519" s="12"/>
      <c r="BO519" s="12"/>
      <c r="BP519" s="12"/>
      <c r="BQ519" s="12"/>
      <c r="BR519" s="12"/>
      <c r="BS519" s="12"/>
      <c r="BT519" s="12"/>
      <c r="BU519" s="12"/>
      <c r="BV519" s="12"/>
      <c r="BW519" s="12"/>
      <c r="BX519" s="12"/>
      <c r="BY519" s="12"/>
      <c r="BZ519" s="12"/>
      <c r="CA519" s="12"/>
    </row>
    <row r="520" spans="1:79" x14ac:dyDescent="0.3">
      <c r="A520" s="8">
        <v>3</v>
      </c>
      <c r="B520" s="8" t="s">
        <v>959</v>
      </c>
      <c r="C520" s="8">
        <v>6</v>
      </c>
      <c r="D520" s="8">
        <v>561</v>
      </c>
      <c r="E520" s="8" t="s">
        <v>950</v>
      </c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12"/>
      <c r="AW520" s="12"/>
      <c r="AX520" s="12"/>
      <c r="AY520" s="12"/>
      <c r="AZ520" s="12"/>
      <c r="BA520" s="12"/>
      <c r="BB520" s="12"/>
      <c r="BC520" s="12"/>
      <c r="BD520" s="12"/>
      <c r="BE520" s="12"/>
      <c r="BF520" s="12"/>
      <c r="BG520" s="12"/>
      <c r="BH520" s="12"/>
      <c r="BI520" s="12"/>
      <c r="BJ520" s="12"/>
      <c r="BK520" s="12"/>
      <c r="BL520" s="12"/>
      <c r="BM520" s="12"/>
      <c r="BN520" s="12"/>
      <c r="BO520" s="12"/>
      <c r="BP520" s="12"/>
      <c r="BQ520" s="12"/>
      <c r="BR520" s="12"/>
      <c r="BS520" s="12"/>
      <c r="BT520" s="12"/>
      <c r="BU520" s="12"/>
      <c r="BV520" s="12"/>
      <c r="BW520" s="12"/>
      <c r="BX520" s="12"/>
      <c r="BY520" s="12"/>
      <c r="BZ520" s="12"/>
      <c r="CA520" s="12"/>
    </row>
    <row r="521" spans="1:79" x14ac:dyDescent="0.3">
      <c r="A521" s="8">
        <v>3</v>
      </c>
      <c r="B521" s="8" t="s">
        <v>959</v>
      </c>
      <c r="C521" s="8">
        <v>6</v>
      </c>
      <c r="D521" s="8">
        <v>562</v>
      </c>
      <c r="E521" s="8" t="s">
        <v>951</v>
      </c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12"/>
      <c r="AW521" s="12"/>
      <c r="AX521" s="12"/>
      <c r="AY521" s="12"/>
      <c r="AZ521" s="12"/>
      <c r="BA521" s="12"/>
      <c r="BB521" s="12"/>
      <c r="BC521" s="12"/>
      <c r="BD521" s="12"/>
      <c r="BE521" s="12"/>
      <c r="BF521" s="12"/>
      <c r="BG521" s="12"/>
      <c r="BH521" s="12"/>
      <c r="BI521" s="12"/>
      <c r="BJ521" s="12"/>
      <c r="BK521" s="12"/>
      <c r="BL521" s="12"/>
      <c r="BM521" s="12"/>
      <c r="BN521" s="12"/>
      <c r="BO521" s="12"/>
      <c r="BP521" s="12"/>
      <c r="BQ521" s="12"/>
      <c r="BR521" s="12"/>
      <c r="BS521" s="12"/>
      <c r="BT521" s="12"/>
      <c r="BU521" s="12"/>
      <c r="BV521" s="12"/>
      <c r="BW521" s="12"/>
      <c r="BX521" s="12"/>
      <c r="BY521" s="12"/>
      <c r="BZ521" s="12"/>
      <c r="CA521" s="12"/>
    </row>
    <row r="522" spans="1:79" x14ac:dyDescent="0.3">
      <c r="A522" s="8">
        <v>3</v>
      </c>
      <c r="B522" s="8" t="s">
        <v>959</v>
      </c>
      <c r="C522" s="8">
        <v>6</v>
      </c>
      <c r="D522" s="8">
        <v>563</v>
      </c>
      <c r="E522" s="8" t="s">
        <v>951</v>
      </c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12"/>
      <c r="AW522" s="12"/>
      <c r="AX522" s="12"/>
      <c r="AY522" s="12"/>
      <c r="AZ522" s="12"/>
      <c r="BA522" s="12"/>
      <c r="BB522" s="12"/>
      <c r="BC522" s="12"/>
      <c r="BD522" s="12"/>
      <c r="BE522" s="12"/>
      <c r="BF522" s="12"/>
      <c r="BG522" s="12"/>
      <c r="BH522" s="12"/>
      <c r="BI522" s="12"/>
      <c r="BJ522" s="12"/>
      <c r="BK522" s="12"/>
      <c r="BL522" s="12"/>
      <c r="BM522" s="12"/>
      <c r="BN522" s="12"/>
      <c r="BO522" s="12"/>
      <c r="BP522" s="12"/>
      <c r="BQ522" s="12"/>
      <c r="BR522" s="12"/>
      <c r="BS522" s="12"/>
      <c r="BT522" s="12"/>
      <c r="BU522" s="12"/>
      <c r="BV522" s="12"/>
      <c r="BW522" s="12"/>
      <c r="BX522" s="12"/>
      <c r="BY522" s="12"/>
      <c r="BZ522" s="12"/>
      <c r="CA522" s="12"/>
    </row>
    <row r="523" spans="1:79" x14ac:dyDescent="0.3">
      <c r="A523" s="8">
        <v>3</v>
      </c>
      <c r="B523" s="8" t="s">
        <v>959</v>
      </c>
      <c r="C523" s="8">
        <v>6</v>
      </c>
      <c r="D523" s="8">
        <v>564</v>
      </c>
      <c r="E523" s="8" t="s">
        <v>950</v>
      </c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12"/>
      <c r="AW523" s="12"/>
      <c r="AX523" s="12"/>
      <c r="AY523" s="12"/>
      <c r="AZ523" s="12"/>
      <c r="BA523" s="12"/>
      <c r="BB523" s="12"/>
      <c r="BC523" s="12"/>
      <c r="BD523" s="12"/>
      <c r="BE523" s="12"/>
      <c r="BF523" s="12"/>
      <c r="BG523" s="12"/>
      <c r="BH523" s="12"/>
      <c r="BI523" s="12"/>
      <c r="BJ523" s="12"/>
      <c r="BK523" s="12"/>
      <c r="BL523" s="12"/>
      <c r="BM523" s="12"/>
      <c r="BN523" s="12"/>
      <c r="BO523" s="12"/>
      <c r="BP523" s="12"/>
      <c r="BQ523" s="12"/>
      <c r="BR523" s="12"/>
      <c r="BS523" s="12"/>
      <c r="BT523" s="12"/>
      <c r="BU523" s="12"/>
      <c r="BV523" s="12"/>
      <c r="BW523" s="12"/>
      <c r="BX523" s="12"/>
      <c r="BY523" s="12"/>
      <c r="BZ523" s="12"/>
      <c r="CA523" s="12"/>
    </row>
    <row r="524" spans="1:79" x14ac:dyDescent="0.3">
      <c r="A524" s="8">
        <v>3</v>
      </c>
      <c r="B524" s="8" t="s">
        <v>959</v>
      </c>
      <c r="C524" s="8">
        <v>6</v>
      </c>
      <c r="D524" s="8">
        <v>565</v>
      </c>
      <c r="E524" s="8" t="s">
        <v>950</v>
      </c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12"/>
      <c r="AW524" s="12"/>
      <c r="AX524" s="12"/>
      <c r="AY524" s="12"/>
      <c r="AZ524" s="12"/>
      <c r="BA524" s="12"/>
      <c r="BB524" s="12"/>
      <c r="BC524" s="12"/>
      <c r="BD524" s="12"/>
      <c r="BE524" s="12"/>
      <c r="BF524" s="12"/>
      <c r="BG524" s="12"/>
      <c r="BH524" s="12"/>
      <c r="BI524" s="12"/>
      <c r="BJ524" s="12"/>
      <c r="BK524" s="12"/>
      <c r="BL524" s="12"/>
      <c r="BM524" s="12"/>
      <c r="BN524" s="12"/>
      <c r="BO524" s="12"/>
      <c r="BP524" s="12"/>
      <c r="BQ524" s="12"/>
      <c r="BR524" s="12"/>
      <c r="BS524" s="12"/>
      <c r="BT524" s="12"/>
      <c r="BU524" s="12"/>
      <c r="BV524" s="12"/>
      <c r="BW524" s="12"/>
      <c r="BX524" s="12"/>
      <c r="BY524" s="12"/>
      <c r="BZ524" s="12"/>
      <c r="CA524" s="12"/>
    </row>
    <row r="525" spans="1:79" x14ac:dyDescent="0.3">
      <c r="A525" s="8">
        <v>1</v>
      </c>
      <c r="B525" s="8" t="s">
        <v>959</v>
      </c>
      <c r="C525" s="8">
        <v>6</v>
      </c>
      <c r="D525" s="8">
        <v>566</v>
      </c>
      <c r="E525" s="8" t="s">
        <v>951</v>
      </c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12"/>
      <c r="AW525" s="12"/>
      <c r="AX525" s="12"/>
      <c r="AY525" s="12"/>
      <c r="AZ525" s="12"/>
      <c r="BA525" s="12"/>
      <c r="BB525" s="12"/>
      <c r="BC525" s="12"/>
      <c r="BD525" s="12"/>
      <c r="BE525" s="12"/>
      <c r="BF525" s="12"/>
      <c r="BG525" s="12"/>
      <c r="BH525" s="12"/>
      <c r="BI525" s="12"/>
      <c r="BJ525" s="12"/>
      <c r="BK525" s="12"/>
      <c r="BL525" s="12"/>
      <c r="BM525" s="12"/>
      <c r="BN525" s="12"/>
      <c r="BO525" s="12"/>
      <c r="BP525" s="12"/>
      <c r="BQ525" s="12"/>
      <c r="BR525" s="12"/>
      <c r="BS525" s="12"/>
      <c r="BT525" s="12"/>
      <c r="BU525" s="12"/>
      <c r="BV525" s="12"/>
      <c r="BW525" s="12"/>
      <c r="BX525" s="12"/>
      <c r="BY525" s="12"/>
      <c r="BZ525" s="12"/>
      <c r="CA525" s="12"/>
    </row>
    <row r="526" spans="1:79" x14ac:dyDescent="0.3">
      <c r="A526" s="8">
        <v>1</v>
      </c>
      <c r="B526" s="8" t="s">
        <v>959</v>
      </c>
      <c r="C526" s="8">
        <v>6</v>
      </c>
      <c r="D526" s="8">
        <v>567</v>
      </c>
      <c r="E526" s="8" t="s">
        <v>950</v>
      </c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12"/>
      <c r="AW526" s="12"/>
      <c r="AX526" s="12"/>
      <c r="AY526" s="12"/>
      <c r="AZ526" s="12"/>
      <c r="BA526" s="12"/>
      <c r="BB526" s="12"/>
      <c r="BC526" s="12"/>
      <c r="BD526" s="12"/>
      <c r="BE526" s="12"/>
      <c r="BF526" s="12"/>
      <c r="BG526" s="12"/>
      <c r="BH526" s="12"/>
      <c r="BI526" s="12"/>
      <c r="BJ526" s="12"/>
      <c r="BK526" s="12"/>
      <c r="BL526" s="12"/>
      <c r="BM526" s="12"/>
      <c r="BN526" s="12"/>
      <c r="BO526" s="12"/>
      <c r="BP526" s="12"/>
      <c r="BQ526" s="12"/>
      <c r="BR526" s="12"/>
      <c r="BS526" s="12"/>
      <c r="BT526" s="12"/>
      <c r="BU526" s="12"/>
      <c r="BV526" s="12"/>
      <c r="BW526" s="12"/>
      <c r="BX526" s="12"/>
      <c r="BY526" s="12"/>
      <c r="BZ526" s="12"/>
      <c r="CA526" s="12"/>
    </row>
    <row r="527" spans="1:79" x14ac:dyDescent="0.3">
      <c r="A527" s="8">
        <v>1</v>
      </c>
      <c r="B527" s="8" t="s">
        <v>960</v>
      </c>
      <c r="C527" s="8">
        <v>4</v>
      </c>
      <c r="D527" s="8">
        <v>568</v>
      </c>
      <c r="E527" s="8" t="s">
        <v>951</v>
      </c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12"/>
      <c r="AW527" s="12"/>
      <c r="AX527" s="12"/>
      <c r="AY527" s="12"/>
      <c r="AZ527" s="12"/>
      <c r="BA527" s="12"/>
      <c r="BB527" s="12"/>
      <c r="BC527" s="12"/>
      <c r="BD527" s="12"/>
      <c r="BE527" s="12"/>
      <c r="BF527" s="12"/>
      <c r="BG527" s="12"/>
      <c r="BH527" s="12"/>
      <c r="BI527" s="12"/>
      <c r="BJ527" s="12"/>
      <c r="BK527" s="12"/>
      <c r="BL527" s="12"/>
      <c r="BM527" s="12"/>
      <c r="BN527" s="12"/>
      <c r="BO527" s="12"/>
      <c r="BP527" s="12"/>
      <c r="BQ527" s="12"/>
      <c r="BR527" s="12"/>
      <c r="BS527" s="12"/>
      <c r="BT527" s="12"/>
      <c r="BU527" s="12"/>
      <c r="BV527" s="12"/>
      <c r="BW527" s="12"/>
      <c r="BX527" s="12"/>
      <c r="BY527" s="12"/>
      <c r="BZ527" s="12"/>
      <c r="CA527" s="12"/>
    </row>
    <row r="528" spans="1:79" x14ac:dyDescent="0.3">
      <c r="A528" s="8">
        <v>1</v>
      </c>
      <c r="B528" s="8" t="s">
        <v>960</v>
      </c>
      <c r="C528" s="8">
        <v>4</v>
      </c>
      <c r="D528" s="8">
        <v>569</v>
      </c>
      <c r="E528" s="8" t="s">
        <v>951</v>
      </c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12"/>
      <c r="AW528" s="12"/>
      <c r="AX528" s="12"/>
      <c r="AY528" s="12"/>
      <c r="AZ528" s="12"/>
      <c r="BA528" s="12"/>
      <c r="BB528" s="12"/>
      <c r="BC528" s="12"/>
      <c r="BD528" s="12"/>
      <c r="BE528" s="12"/>
      <c r="BF528" s="12"/>
      <c r="BG528" s="12"/>
      <c r="BH528" s="12"/>
      <c r="BI528" s="12"/>
      <c r="BJ528" s="12"/>
      <c r="BK528" s="12"/>
      <c r="BL528" s="12"/>
      <c r="BM528" s="12"/>
      <c r="BN528" s="12"/>
      <c r="BO528" s="12"/>
      <c r="BP528" s="12"/>
      <c r="BQ528" s="12"/>
      <c r="BR528" s="12"/>
      <c r="BS528" s="12"/>
      <c r="BT528" s="12"/>
      <c r="BU528" s="12"/>
      <c r="BV528" s="12"/>
      <c r="BW528" s="12"/>
      <c r="BX528" s="12"/>
      <c r="BY528" s="12"/>
      <c r="BZ528" s="12"/>
      <c r="CA528" s="12"/>
    </row>
    <row r="529" spans="1:79" x14ac:dyDescent="0.3">
      <c r="A529" s="8">
        <v>1</v>
      </c>
      <c r="B529" s="8" t="s">
        <v>960</v>
      </c>
      <c r="C529" s="8">
        <v>4</v>
      </c>
      <c r="D529" s="8">
        <v>570</v>
      </c>
      <c r="E529" s="8" t="s">
        <v>950</v>
      </c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12"/>
      <c r="AW529" s="12"/>
      <c r="AX529" s="12"/>
      <c r="AY529" s="12"/>
      <c r="AZ529" s="12"/>
      <c r="BA529" s="12"/>
      <c r="BB529" s="12"/>
      <c r="BC529" s="12"/>
      <c r="BD529" s="12"/>
      <c r="BE529" s="12"/>
      <c r="BF529" s="12"/>
      <c r="BG529" s="12"/>
      <c r="BH529" s="12"/>
      <c r="BI529" s="12"/>
      <c r="BJ529" s="12"/>
      <c r="BK529" s="12"/>
      <c r="BL529" s="12"/>
      <c r="BM529" s="12"/>
      <c r="BN529" s="12"/>
      <c r="BO529" s="12"/>
      <c r="BP529" s="12"/>
      <c r="BQ529" s="12"/>
      <c r="BR529" s="12"/>
      <c r="BS529" s="12"/>
      <c r="BT529" s="12"/>
      <c r="BU529" s="12"/>
      <c r="BV529" s="12"/>
      <c r="BW529" s="12"/>
      <c r="BX529" s="12"/>
      <c r="BY529" s="12"/>
      <c r="BZ529" s="12"/>
      <c r="CA529" s="12"/>
    </row>
    <row r="530" spans="1:79" x14ac:dyDescent="0.3">
      <c r="A530" s="8">
        <v>1</v>
      </c>
      <c r="B530" s="8" t="s">
        <v>960</v>
      </c>
      <c r="C530" s="8">
        <v>4</v>
      </c>
      <c r="D530" s="8">
        <v>571</v>
      </c>
      <c r="E530" s="8" t="s">
        <v>951</v>
      </c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12"/>
      <c r="AW530" s="12"/>
      <c r="AX530" s="12"/>
      <c r="AY530" s="12"/>
      <c r="AZ530" s="12"/>
      <c r="BA530" s="12"/>
      <c r="BB530" s="12"/>
      <c r="BC530" s="12"/>
      <c r="BD530" s="12"/>
      <c r="BE530" s="12"/>
      <c r="BF530" s="12"/>
      <c r="BG530" s="12"/>
      <c r="BH530" s="12"/>
      <c r="BI530" s="12"/>
      <c r="BJ530" s="12"/>
      <c r="BK530" s="12"/>
      <c r="BL530" s="12"/>
      <c r="BM530" s="12"/>
      <c r="BN530" s="12"/>
      <c r="BO530" s="12"/>
      <c r="BP530" s="12"/>
      <c r="BQ530" s="12"/>
      <c r="BR530" s="12"/>
      <c r="BS530" s="12"/>
      <c r="BT530" s="12"/>
      <c r="BU530" s="12"/>
      <c r="BV530" s="12"/>
      <c r="BW530" s="12"/>
      <c r="BX530" s="12"/>
      <c r="BY530" s="12"/>
      <c r="BZ530" s="12"/>
      <c r="CA530" s="12"/>
    </row>
    <row r="531" spans="1:79" x14ac:dyDescent="0.3">
      <c r="A531" s="8">
        <v>1</v>
      </c>
      <c r="B531" s="8" t="s">
        <v>960</v>
      </c>
      <c r="C531" s="8">
        <v>4</v>
      </c>
      <c r="D531" s="8">
        <v>572</v>
      </c>
      <c r="E531" s="8" t="s">
        <v>950</v>
      </c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12"/>
      <c r="AW531" s="12"/>
      <c r="AX531" s="12"/>
      <c r="AY531" s="12"/>
      <c r="AZ531" s="12"/>
      <c r="BA531" s="12"/>
      <c r="BB531" s="12"/>
      <c r="BC531" s="12"/>
      <c r="BD531" s="12"/>
      <c r="BE531" s="12"/>
      <c r="BF531" s="12"/>
      <c r="BG531" s="12"/>
      <c r="BH531" s="12"/>
      <c r="BI531" s="12"/>
      <c r="BJ531" s="12"/>
      <c r="BK531" s="12"/>
      <c r="BL531" s="12"/>
      <c r="BM531" s="12"/>
      <c r="BN531" s="12"/>
      <c r="BO531" s="12"/>
      <c r="BP531" s="12"/>
      <c r="BQ531" s="12"/>
      <c r="BR531" s="12"/>
      <c r="BS531" s="12"/>
      <c r="BT531" s="12"/>
      <c r="BU531" s="12"/>
      <c r="BV531" s="12"/>
      <c r="BW531" s="12"/>
      <c r="BX531" s="12"/>
      <c r="BY531" s="12"/>
      <c r="BZ531" s="12"/>
      <c r="CA531" s="12"/>
    </row>
    <row r="532" spans="1:79" x14ac:dyDescent="0.3">
      <c r="A532" s="8">
        <v>1</v>
      </c>
      <c r="B532" s="8" t="s">
        <v>960</v>
      </c>
      <c r="C532" s="8">
        <v>4</v>
      </c>
      <c r="D532" s="8">
        <v>573</v>
      </c>
      <c r="E532" s="8" t="s">
        <v>951</v>
      </c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12"/>
      <c r="AW532" s="12"/>
      <c r="AX532" s="12"/>
      <c r="AY532" s="12"/>
      <c r="AZ532" s="12"/>
      <c r="BA532" s="12"/>
      <c r="BB532" s="12"/>
      <c r="BC532" s="12"/>
      <c r="BD532" s="12"/>
      <c r="BE532" s="12"/>
      <c r="BF532" s="12"/>
      <c r="BG532" s="12"/>
      <c r="BH532" s="12"/>
      <c r="BI532" s="12"/>
      <c r="BJ532" s="12"/>
      <c r="BK532" s="12"/>
      <c r="BL532" s="12"/>
      <c r="BM532" s="12"/>
      <c r="BN532" s="12"/>
      <c r="BO532" s="12"/>
      <c r="BP532" s="12"/>
      <c r="BQ532" s="12"/>
      <c r="BR532" s="12"/>
      <c r="BS532" s="12"/>
      <c r="BT532" s="12"/>
      <c r="BU532" s="12"/>
      <c r="BV532" s="12"/>
      <c r="BW532" s="12"/>
      <c r="BX532" s="12"/>
      <c r="BY532" s="12"/>
      <c r="BZ532" s="12"/>
      <c r="CA532" s="12"/>
    </row>
    <row r="533" spans="1:79" x14ac:dyDescent="0.3">
      <c r="A533" s="8">
        <v>1</v>
      </c>
      <c r="B533" s="8" t="s">
        <v>960</v>
      </c>
      <c r="C533" s="8">
        <v>4</v>
      </c>
      <c r="D533" s="8">
        <v>574</v>
      </c>
      <c r="E533" s="8" t="s">
        <v>951</v>
      </c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12"/>
      <c r="AW533" s="12"/>
      <c r="AX533" s="12"/>
      <c r="AY533" s="12"/>
      <c r="AZ533" s="12"/>
      <c r="BA533" s="12"/>
      <c r="BB533" s="12"/>
      <c r="BC533" s="12"/>
      <c r="BD533" s="12"/>
      <c r="BE533" s="12"/>
      <c r="BF533" s="12"/>
      <c r="BG533" s="12"/>
      <c r="BH533" s="12"/>
      <c r="BI533" s="12"/>
      <c r="BJ533" s="12"/>
      <c r="BK533" s="12"/>
      <c r="BL533" s="12"/>
      <c r="BM533" s="12"/>
      <c r="BN533" s="12"/>
      <c r="BO533" s="12"/>
      <c r="BP533" s="12"/>
      <c r="BQ533" s="12"/>
      <c r="BR533" s="12"/>
      <c r="BS533" s="12"/>
      <c r="BT533" s="12"/>
      <c r="BU533" s="12"/>
      <c r="BV533" s="12"/>
      <c r="BW533" s="12"/>
      <c r="BX533" s="12"/>
      <c r="BY533" s="12"/>
      <c r="BZ533" s="12"/>
      <c r="CA533" s="12"/>
    </row>
    <row r="534" spans="1:79" x14ac:dyDescent="0.3">
      <c r="A534" s="8">
        <v>1</v>
      </c>
      <c r="B534" s="8" t="s">
        <v>960</v>
      </c>
      <c r="C534" s="8">
        <v>4</v>
      </c>
      <c r="D534" s="8">
        <v>575</v>
      </c>
      <c r="E534" s="8" t="s">
        <v>951</v>
      </c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12"/>
      <c r="AW534" s="12"/>
      <c r="AX534" s="12"/>
      <c r="AY534" s="12"/>
      <c r="AZ534" s="12"/>
      <c r="BA534" s="12"/>
      <c r="BB534" s="12"/>
      <c r="BC534" s="12"/>
      <c r="BD534" s="12"/>
      <c r="BE534" s="12"/>
      <c r="BF534" s="12"/>
      <c r="BG534" s="12"/>
      <c r="BH534" s="12"/>
      <c r="BI534" s="12"/>
      <c r="BJ534" s="12"/>
      <c r="BK534" s="12"/>
      <c r="BL534" s="12"/>
      <c r="BM534" s="12"/>
      <c r="BN534" s="12"/>
      <c r="BO534" s="12"/>
      <c r="BP534" s="12"/>
      <c r="BQ534" s="12"/>
      <c r="BR534" s="12"/>
      <c r="BS534" s="12"/>
      <c r="BT534" s="12"/>
      <c r="BU534" s="12"/>
      <c r="BV534" s="12"/>
      <c r="BW534" s="12"/>
      <c r="BX534" s="12"/>
      <c r="BY534" s="12"/>
      <c r="BZ534" s="12"/>
      <c r="CA534" s="12"/>
    </row>
    <row r="535" spans="1:79" x14ac:dyDescent="0.3">
      <c r="A535" s="8">
        <v>1</v>
      </c>
      <c r="B535" s="8" t="s">
        <v>960</v>
      </c>
      <c r="C535" s="8">
        <v>4</v>
      </c>
      <c r="D535" s="8">
        <v>576</v>
      </c>
      <c r="E535" s="8" t="s">
        <v>950</v>
      </c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12"/>
      <c r="AW535" s="12"/>
      <c r="AX535" s="12"/>
      <c r="AY535" s="12"/>
      <c r="AZ535" s="12"/>
      <c r="BA535" s="12"/>
      <c r="BB535" s="12"/>
      <c r="BC535" s="12"/>
      <c r="BD535" s="12"/>
      <c r="BE535" s="12"/>
      <c r="BF535" s="12"/>
      <c r="BG535" s="12"/>
      <c r="BH535" s="12"/>
      <c r="BI535" s="12"/>
      <c r="BJ535" s="12"/>
      <c r="BK535" s="12"/>
      <c r="BL535" s="12"/>
      <c r="BM535" s="12"/>
      <c r="BN535" s="12"/>
      <c r="BO535" s="12"/>
      <c r="BP535" s="12"/>
      <c r="BQ535" s="12"/>
      <c r="BR535" s="12"/>
      <c r="BS535" s="12"/>
      <c r="BT535" s="12"/>
      <c r="BU535" s="12"/>
      <c r="BV535" s="12"/>
      <c r="BW535" s="12"/>
      <c r="BX535" s="12"/>
      <c r="BY535" s="12"/>
      <c r="BZ535" s="12"/>
      <c r="CA535" s="12"/>
    </row>
    <row r="536" spans="1:79" x14ac:dyDescent="0.3">
      <c r="A536" s="8">
        <v>1</v>
      </c>
      <c r="B536" s="8" t="s">
        <v>960</v>
      </c>
      <c r="C536" s="8">
        <v>4</v>
      </c>
      <c r="D536" s="8">
        <v>577</v>
      </c>
      <c r="E536" s="8" t="s">
        <v>951</v>
      </c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12"/>
      <c r="AW536" s="12"/>
      <c r="AX536" s="12"/>
      <c r="AY536" s="12"/>
      <c r="AZ536" s="12"/>
      <c r="BA536" s="12"/>
      <c r="BB536" s="12"/>
      <c r="BC536" s="12"/>
      <c r="BD536" s="12"/>
      <c r="BE536" s="12"/>
      <c r="BF536" s="12"/>
      <c r="BG536" s="12"/>
      <c r="BH536" s="12"/>
      <c r="BI536" s="12"/>
      <c r="BJ536" s="12"/>
      <c r="BK536" s="12"/>
      <c r="BL536" s="12"/>
      <c r="BM536" s="12"/>
      <c r="BN536" s="12"/>
      <c r="BO536" s="12"/>
      <c r="BP536" s="12"/>
      <c r="BQ536" s="12"/>
      <c r="BR536" s="12"/>
      <c r="BS536" s="12"/>
      <c r="BT536" s="12"/>
      <c r="BU536" s="12"/>
      <c r="BV536" s="12"/>
      <c r="BW536" s="12"/>
      <c r="BX536" s="12"/>
      <c r="BY536" s="12"/>
      <c r="BZ536" s="12"/>
      <c r="CA536" s="12"/>
    </row>
    <row r="537" spans="1:79" x14ac:dyDescent="0.3">
      <c r="A537" s="8">
        <v>1</v>
      </c>
      <c r="B537" s="8" t="s">
        <v>960</v>
      </c>
      <c r="C537" s="8">
        <v>4</v>
      </c>
      <c r="D537" s="8">
        <v>578</v>
      </c>
      <c r="E537" s="8" t="s">
        <v>951</v>
      </c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12"/>
      <c r="AW537" s="12"/>
      <c r="AX537" s="12"/>
      <c r="AY537" s="12"/>
      <c r="AZ537" s="12"/>
      <c r="BA537" s="12"/>
      <c r="BB537" s="12"/>
      <c r="BC537" s="12"/>
      <c r="BD537" s="12"/>
      <c r="BE537" s="12"/>
      <c r="BF537" s="12"/>
      <c r="BG537" s="12"/>
      <c r="BH537" s="12"/>
      <c r="BI537" s="12"/>
      <c r="BJ537" s="12"/>
      <c r="BK537" s="12"/>
      <c r="BL537" s="12"/>
      <c r="BM537" s="12"/>
      <c r="BN537" s="12"/>
      <c r="BO537" s="12"/>
      <c r="BP537" s="12"/>
      <c r="BQ537" s="12"/>
      <c r="BR537" s="12"/>
      <c r="BS537" s="12"/>
      <c r="BT537" s="12"/>
      <c r="BU537" s="12"/>
      <c r="BV537" s="12"/>
      <c r="BW537" s="12"/>
      <c r="BX537" s="12"/>
      <c r="BY537" s="12"/>
      <c r="BZ537" s="12"/>
      <c r="CA537" s="12"/>
    </row>
    <row r="538" spans="1:79" x14ac:dyDescent="0.3">
      <c r="A538" s="8">
        <v>1</v>
      </c>
      <c r="B538" s="8" t="s">
        <v>960</v>
      </c>
      <c r="C538" s="8">
        <v>4</v>
      </c>
      <c r="D538" s="8">
        <v>579</v>
      </c>
      <c r="E538" s="8" t="s">
        <v>951</v>
      </c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12"/>
      <c r="AW538" s="12"/>
      <c r="AX538" s="12"/>
      <c r="AY538" s="12"/>
      <c r="AZ538" s="12"/>
      <c r="BA538" s="12"/>
      <c r="BB538" s="12"/>
      <c r="BC538" s="12"/>
      <c r="BD538" s="12"/>
      <c r="BE538" s="12"/>
      <c r="BF538" s="12"/>
      <c r="BG538" s="12"/>
      <c r="BH538" s="12"/>
      <c r="BI538" s="12"/>
      <c r="BJ538" s="12"/>
      <c r="BK538" s="12"/>
      <c r="BL538" s="12"/>
      <c r="BM538" s="12"/>
      <c r="BN538" s="12"/>
      <c r="BO538" s="12"/>
      <c r="BP538" s="12"/>
      <c r="BQ538" s="12"/>
      <c r="BR538" s="12"/>
      <c r="BS538" s="12"/>
      <c r="BT538" s="12"/>
      <c r="BU538" s="12"/>
      <c r="BV538" s="12"/>
      <c r="BW538" s="12"/>
      <c r="BX538" s="12"/>
      <c r="BY538" s="12"/>
      <c r="BZ538" s="12"/>
      <c r="CA538" s="12"/>
    </row>
    <row r="539" spans="1:79" x14ac:dyDescent="0.3">
      <c r="A539" s="8">
        <v>1</v>
      </c>
      <c r="B539" s="8" t="s">
        <v>960</v>
      </c>
      <c r="C539" s="8">
        <v>4</v>
      </c>
      <c r="D539" s="8">
        <v>580</v>
      </c>
      <c r="E539" s="8" t="s">
        <v>950</v>
      </c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12"/>
      <c r="AW539" s="12"/>
      <c r="AX539" s="12"/>
      <c r="AY539" s="12"/>
      <c r="AZ539" s="12"/>
      <c r="BA539" s="12"/>
      <c r="BB539" s="12"/>
      <c r="BC539" s="12"/>
      <c r="BD539" s="12"/>
      <c r="BE539" s="12"/>
      <c r="BF539" s="12"/>
      <c r="BG539" s="12"/>
      <c r="BH539" s="12"/>
      <c r="BI539" s="12"/>
      <c r="BJ539" s="12"/>
      <c r="BK539" s="12"/>
      <c r="BL539" s="12"/>
      <c r="BM539" s="12"/>
      <c r="BN539" s="12"/>
      <c r="BO539" s="12"/>
      <c r="BP539" s="12"/>
      <c r="BQ539" s="12"/>
      <c r="BR539" s="12"/>
      <c r="BS539" s="12"/>
      <c r="BT539" s="12"/>
      <c r="BU539" s="12"/>
      <c r="BV539" s="12"/>
      <c r="BW539" s="12"/>
      <c r="BX539" s="12"/>
      <c r="BY539" s="12"/>
      <c r="BZ539" s="12"/>
      <c r="CA539" s="12"/>
    </row>
    <row r="540" spans="1:79" x14ac:dyDescent="0.3">
      <c r="A540" s="8">
        <v>1</v>
      </c>
      <c r="B540" s="8" t="s">
        <v>960</v>
      </c>
      <c r="C540" s="8">
        <v>4</v>
      </c>
      <c r="D540" s="8">
        <v>581</v>
      </c>
      <c r="E540" s="8" t="s">
        <v>951</v>
      </c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12"/>
      <c r="AW540" s="12"/>
      <c r="AX540" s="12"/>
      <c r="AY540" s="12"/>
      <c r="AZ540" s="12"/>
      <c r="BA540" s="12"/>
      <c r="BB540" s="12"/>
      <c r="BC540" s="12"/>
      <c r="BD540" s="12"/>
      <c r="BE540" s="12"/>
      <c r="BF540" s="12"/>
      <c r="BG540" s="12"/>
      <c r="BH540" s="12"/>
      <c r="BI540" s="12"/>
      <c r="BJ540" s="12"/>
      <c r="BK540" s="12"/>
      <c r="BL540" s="12"/>
      <c r="BM540" s="12"/>
      <c r="BN540" s="12"/>
      <c r="BO540" s="12"/>
      <c r="BP540" s="12"/>
      <c r="BQ540" s="12"/>
      <c r="BR540" s="12"/>
      <c r="BS540" s="12"/>
      <c r="BT540" s="12"/>
      <c r="BU540" s="12"/>
      <c r="BV540" s="12"/>
      <c r="BW540" s="12"/>
      <c r="BX540" s="12"/>
      <c r="BY540" s="12"/>
      <c r="BZ540" s="12"/>
      <c r="CA540" s="12"/>
    </row>
    <row r="541" spans="1:79" x14ac:dyDescent="0.3">
      <c r="A541" s="8">
        <v>1</v>
      </c>
      <c r="B541" s="8" t="s">
        <v>960</v>
      </c>
      <c r="C541" s="8">
        <v>4</v>
      </c>
      <c r="D541" s="8">
        <v>582</v>
      </c>
      <c r="E541" s="8" t="s">
        <v>950</v>
      </c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12"/>
      <c r="AW541" s="12"/>
      <c r="AX541" s="12"/>
      <c r="AY541" s="12"/>
      <c r="AZ541" s="12"/>
      <c r="BA541" s="12"/>
      <c r="BB541" s="12"/>
      <c r="BC541" s="12"/>
      <c r="BD541" s="12"/>
      <c r="BE541" s="12"/>
      <c r="BF541" s="12"/>
      <c r="BG541" s="12"/>
      <c r="BH541" s="12"/>
      <c r="BI541" s="12"/>
      <c r="BJ541" s="12"/>
      <c r="BK541" s="12"/>
      <c r="BL541" s="12"/>
      <c r="BM541" s="12"/>
      <c r="BN541" s="12"/>
      <c r="BO541" s="12"/>
      <c r="BP541" s="12"/>
      <c r="BQ541" s="12"/>
      <c r="BR541" s="12"/>
      <c r="BS541" s="12"/>
      <c r="BT541" s="12"/>
      <c r="BU541" s="12"/>
      <c r="BV541" s="12"/>
      <c r="BW541" s="12"/>
      <c r="BX541" s="12"/>
      <c r="BY541" s="12"/>
      <c r="BZ541" s="12"/>
      <c r="CA541" s="12"/>
    </row>
    <row r="542" spans="1:79" x14ac:dyDescent="0.3">
      <c r="A542" s="8">
        <v>1</v>
      </c>
      <c r="B542" s="8" t="s">
        <v>960</v>
      </c>
      <c r="C542" s="8">
        <v>4</v>
      </c>
      <c r="D542" s="8">
        <v>583</v>
      </c>
      <c r="E542" s="8" t="s">
        <v>950</v>
      </c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12"/>
      <c r="AW542" s="12"/>
      <c r="AX542" s="12"/>
      <c r="AY542" s="12"/>
      <c r="AZ542" s="12"/>
      <c r="BA542" s="12"/>
      <c r="BB542" s="12"/>
      <c r="BC542" s="12"/>
      <c r="BD542" s="12"/>
      <c r="BE542" s="12"/>
      <c r="BF542" s="12"/>
      <c r="BG542" s="12"/>
      <c r="BH542" s="12"/>
      <c r="BI542" s="12"/>
      <c r="BJ542" s="12"/>
      <c r="BK542" s="12"/>
      <c r="BL542" s="12"/>
      <c r="BM542" s="12"/>
      <c r="BN542" s="12"/>
      <c r="BO542" s="12"/>
      <c r="BP542" s="12"/>
      <c r="BQ542" s="12"/>
      <c r="BR542" s="12"/>
      <c r="BS542" s="12"/>
      <c r="BT542" s="12"/>
      <c r="BU542" s="12"/>
      <c r="BV542" s="12"/>
      <c r="BW542" s="12"/>
      <c r="BX542" s="12"/>
      <c r="BY542" s="12"/>
      <c r="BZ542" s="12"/>
      <c r="CA542" s="12"/>
    </row>
    <row r="543" spans="1:79" x14ac:dyDescent="0.3">
      <c r="A543" s="8">
        <v>1</v>
      </c>
      <c r="B543" s="8" t="s">
        <v>960</v>
      </c>
      <c r="C543" s="8">
        <v>4</v>
      </c>
      <c r="D543" s="8">
        <v>584</v>
      </c>
      <c r="E543" s="8" t="s">
        <v>950</v>
      </c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12"/>
      <c r="AW543" s="12"/>
      <c r="AX543" s="12"/>
      <c r="AY543" s="12"/>
      <c r="AZ543" s="12"/>
      <c r="BA543" s="12"/>
      <c r="BB543" s="12"/>
      <c r="BC543" s="12"/>
      <c r="BD543" s="12"/>
      <c r="BE543" s="12"/>
      <c r="BF543" s="12"/>
      <c r="BG543" s="12"/>
      <c r="BH543" s="12"/>
      <c r="BI543" s="12"/>
      <c r="BJ543" s="12"/>
      <c r="BK543" s="12"/>
      <c r="BL543" s="12"/>
      <c r="BM543" s="12"/>
      <c r="BN543" s="12"/>
      <c r="BO543" s="12"/>
      <c r="BP543" s="12"/>
      <c r="BQ543" s="12"/>
      <c r="BR543" s="12"/>
      <c r="BS543" s="12"/>
      <c r="BT543" s="12"/>
      <c r="BU543" s="12"/>
      <c r="BV543" s="12"/>
      <c r="BW543" s="12"/>
      <c r="BX543" s="12"/>
      <c r="BY543" s="12"/>
      <c r="BZ543" s="12"/>
      <c r="CA543" s="12"/>
    </row>
    <row r="544" spans="1:79" x14ac:dyDescent="0.3">
      <c r="A544" s="8">
        <v>1</v>
      </c>
      <c r="B544" s="8" t="s">
        <v>960</v>
      </c>
      <c r="C544" s="8">
        <v>4</v>
      </c>
      <c r="D544" s="8">
        <v>585</v>
      </c>
      <c r="E544" s="8" t="s">
        <v>950</v>
      </c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12"/>
      <c r="AW544" s="12"/>
      <c r="AX544" s="12"/>
      <c r="AY544" s="12"/>
      <c r="AZ544" s="12"/>
      <c r="BA544" s="12"/>
      <c r="BB544" s="12"/>
      <c r="BC544" s="12"/>
      <c r="BD544" s="12"/>
      <c r="BE544" s="12"/>
      <c r="BF544" s="12"/>
      <c r="BG544" s="12"/>
      <c r="BH544" s="12"/>
      <c r="BI544" s="12"/>
      <c r="BJ544" s="12"/>
      <c r="BK544" s="12"/>
      <c r="BL544" s="12"/>
      <c r="BM544" s="12"/>
      <c r="BN544" s="12"/>
      <c r="BO544" s="12"/>
      <c r="BP544" s="12"/>
      <c r="BQ544" s="12"/>
      <c r="BR544" s="12"/>
      <c r="BS544" s="12"/>
      <c r="BT544" s="12"/>
      <c r="BU544" s="12"/>
      <c r="BV544" s="12"/>
      <c r="BW544" s="12"/>
      <c r="BX544" s="12"/>
      <c r="BY544" s="12"/>
      <c r="BZ544" s="12"/>
      <c r="CA544" s="12"/>
    </row>
    <row r="545" spans="1:79" x14ac:dyDescent="0.3">
      <c r="A545" s="8">
        <v>1</v>
      </c>
      <c r="B545" s="8" t="s">
        <v>960</v>
      </c>
      <c r="C545" s="8">
        <v>4</v>
      </c>
      <c r="D545" s="8">
        <v>586</v>
      </c>
      <c r="E545" s="8" t="s">
        <v>950</v>
      </c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12"/>
      <c r="AW545" s="12"/>
      <c r="AX545" s="12"/>
      <c r="AY545" s="12"/>
      <c r="AZ545" s="12"/>
      <c r="BA545" s="12"/>
      <c r="BB545" s="12"/>
      <c r="BC545" s="12"/>
      <c r="BD545" s="12"/>
      <c r="BE545" s="12"/>
      <c r="BF545" s="12"/>
      <c r="BG545" s="12"/>
      <c r="BH545" s="12"/>
      <c r="BI545" s="12"/>
      <c r="BJ545" s="12"/>
      <c r="BK545" s="12"/>
      <c r="BL545" s="12"/>
      <c r="BM545" s="12"/>
      <c r="BN545" s="12"/>
      <c r="BO545" s="12"/>
      <c r="BP545" s="12"/>
      <c r="BQ545" s="12"/>
      <c r="BR545" s="12"/>
      <c r="BS545" s="12"/>
      <c r="BT545" s="12"/>
      <c r="BU545" s="12"/>
      <c r="BV545" s="12"/>
      <c r="BW545" s="12"/>
      <c r="BX545" s="12"/>
      <c r="BY545" s="12"/>
      <c r="BZ545" s="12"/>
      <c r="CA545" s="12"/>
    </row>
    <row r="546" spans="1:79" x14ac:dyDescent="0.3">
      <c r="A546" s="8">
        <v>2</v>
      </c>
      <c r="B546" s="8" t="s">
        <v>960</v>
      </c>
      <c r="C546" s="8">
        <v>4</v>
      </c>
      <c r="D546" s="8">
        <v>587</v>
      </c>
      <c r="E546" s="8" t="s">
        <v>950</v>
      </c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12"/>
      <c r="AW546" s="12"/>
      <c r="AX546" s="12"/>
      <c r="AY546" s="12"/>
      <c r="AZ546" s="12"/>
      <c r="BA546" s="12"/>
      <c r="BB546" s="12"/>
      <c r="BC546" s="12"/>
      <c r="BD546" s="12"/>
      <c r="BE546" s="12"/>
      <c r="BF546" s="12"/>
      <c r="BG546" s="12"/>
      <c r="BH546" s="12"/>
      <c r="BI546" s="12"/>
      <c r="BJ546" s="12"/>
      <c r="BK546" s="12"/>
      <c r="BL546" s="12"/>
      <c r="BM546" s="12"/>
      <c r="BN546" s="12"/>
      <c r="BO546" s="12"/>
      <c r="BP546" s="12"/>
      <c r="BQ546" s="12"/>
      <c r="BR546" s="12"/>
      <c r="BS546" s="12"/>
      <c r="BT546" s="12"/>
      <c r="BU546" s="12"/>
      <c r="BV546" s="12"/>
      <c r="BW546" s="12"/>
      <c r="BX546" s="12"/>
      <c r="BY546" s="12"/>
      <c r="BZ546" s="12"/>
      <c r="CA546" s="12"/>
    </row>
    <row r="547" spans="1:79" x14ac:dyDescent="0.3">
      <c r="A547" s="8">
        <v>2</v>
      </c>
      <c r="B547" s="8" t="s">
        <v>960</v>
      </c>
      <c r="C547" s="8">
        <v>4</v>
      </c>
      <c r="D547" s="8">
        <v>588</v>
      </c>
      <c r="E547" s="8" t="s">
        <v>951</v>
      </c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12"/>
      <c r="AW547" s="12"/>
      <c r="AX547" s="12"/>
      <c r="AY547" s="12"/>
      <c r="AZ547" s="12"/>
      <c r="BA547" s="12"/>
      <c r="BB547" s="12"/>
      <c r="BC547" s="12"/>
      <c r="BD547" s="12"/>
      <c r="BE547" s="12"/>
      <c r="BF547" s="12"/>
      <c r="BG547" s="12"/>
      <c r="BH547" s="12"/>
      <c r="BI547" s="12"/>
      <c r="BJ547" s="12"/>
      <c r="BK547" s="12"/>
      <c r="BL547" s="12"/>
      <c r="BM547" s="12"/>
      <c r="BN547" s="12"/>
      <c r="BO547" s="12"/>
      <c r="BP547" s="12"/>
      <c r="BQ547" s="12"/>
      <c r="BR547" s="12"/>
      <c r="BS547" s="12"/>
      <c r="BT547" s="12"/>
      <c r="BU547" s="12"/>
      <c r="BV547" s="12"/>
      <c r="BW547" s="12"/>
      <c r="BX547" s="12"/>
      <c r="BY547" s="12"/>
      <c r="BZ547" s="12"/>
      <c r="CA547" s="12"/>
    </row>
    <row r="548" spans="1:79" x14ac:dyDescent="0.3">
      <c r="A548" s="8">
        <v>2</v>
      </c>
      <c r="B548" s="8" t="s">
        <v>960</v>
      </c>
      <c r="C548" s="8">
        <v>5</v>
      </c>
      <c r="D548" s="8">
        <v>589</v>
      </c>
      <c r="E548" s="8" t="s">
        <v>951</v>
      </c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12"/>
      <c r="AW548" s="12"/>
      <c r="AX548" s="12"/>
      <c r="AY548" s="12"/>
      <c r="AZ548" s="12"/>
      <c r="BA548" s="12"/>
      <c r="BB548" s="12"/>
      <c r="BC548" s="12"/>
      <c r="BD548" s="12"/>
      <c r="BE548" s="12"/>
      <c r="BF548" s="12"/>
      <c r="BG548" s="12"/>
      <c r="BH548" s="12"/>
      <c r="BI548" s="12"/>
      <c r="BJ548" s="12"/>
      <c r="BK548" s="12"/>
      <c r="BL548" s="12"/>
      <c r="BM548" s="12"/>
      <c r="BN548" s="12"/>
      <c r="BO548" s="12"/>
      <c r="BP548" s="12"/>
      <c r="BQ548" s="12"/>
      <c r="BR548" s="12"/>
      <c r="BS548" s="12"/>
      <c r="BT548" s="12"/>
      <c r="BU548" s="12"/>
      <c r="BV548" s="12"/>
      <c r="BW548" s="12"/>
      <c r="BX548" s="12"/>
      <c r="BY548" s="12"/>
      <c r="BZ548" s="12"/>
      <c r="CA548" s="12"/>
    </row>
    <row r="549" spans="1:79" x14ac:dyDescent="0.3">
      <c r="A549" s="8">
        <v>2</v>
      </c>
      <c r="B549" s="8" t="s">
        <v>960</v>
      </c>
      <c r="C549" s="8">
        <v>5</v>
      </c>
      <c r="D549" s="8">
        <v>590</v>
      </c>
      <c r="E549" s="8" t="s">
        <v>951</v>
      </c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12"/>
      <c r="AW549" s="12"/>
      <c r="AX549" s="12"/>
      <c r="AY549" s="12"/>
      <c r="AZ549" s="12"/>
      <c r="BA549" s="12"/>
      <c r="BB549" s="12"/>
      <c r="BC549" s="12"/>
      <c r="BD549" s="12"/>
      <c r="BE549" s="12"/>
      <c r="BF549" s="12"/>
      <c r="BG549" s="12"/>
      <c r="BH549" s="12"/>
      <c r="BI549" s="12"/>
      <c r="BJ549" s="12"/>
      <c r="BK549" s="12"/>
      <c r="BL549" s="12"/>
      <c r="BM549" s="12"/>
      <c r="BN549" s="12"/>
      <c r="BO549" s="12"/>
      <c r="BP549" s="12"/>
      <c r="BQ549" s="12"/>
      <c r="BR549" s="12"/>
      <c r="BS549" s="12"/>
      <c r="BT549" s="12"/>
      <c r="BU549" s="12"/>
      <c r="BV549" s="12"/>
      <c r="BW549" s="12"/>
      <c r="BX549" s="12"/>
      <c r="BY549" s="12"/>
      <c r="BZ549" s="12"/>
      <c r="CA549" s="12"/>
    </row>
    <row r="550" spans="1:79" x14ac:dyDescent="0.3">
      <c r="A550" s="8">
        <v>2</v>
      </c>
      <c r="B550" s="8" t="s">
        <v>960</v>
      </c>
      <c r="C550" s="8">
        <v>5</v>
      </c>
      <c r="D550" s="8">
        <v>591</v>
      </c>
      <c r="E550" s="8" t="s">
        <v>951</v>
      </c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12"/>
      <c r="AW550" s="12"/>
      <c r="AX550" s="12"/>
      <c r="AY550" s="12"/>
      <c r="AZ550" s="12"/>
      <c r="BA550" s="12"/>
      <c r="BB550" s="12"/>
      <c r="BC550" s="12"/>
      <c r="BD550" s="12"/>
      <c r="BE550" s="12"/>
      <c r="BF550" s="12"/>
      <c r="BG550" s="12"/>
      <c r="BH550" s="12"/>
      <c r="BI550" s="12"/>
      <c r="BJ550" s="12"/>
      <c r="BK550" s="12"/>
      <c r="BL550" s="12"/>
      <c r="BM550" s="12"/>
      <c r="BN550" s="12"/>
      <c r="BO550" s="12"/>
      <c r="BP550" s="12"/>
      <c r="BQ550" s="12"/>
      <c r="BR550" s="12"/>
      <c r="BS550" s="12"/>
      <c r="BT550" s="12"/>
      <c r="BU550" s="12"/>
      <c r="BV550" s="12"/>
      <c r="BW550" s="12"/>
      <c r="BX550" s="12"/>
      <c r="BY550" s="12"/>
      <c r="BZ550" s="12"/>
      <c r="CA550" s="12"/>
    </row>
    <row r="551" spans="1:79" x14ac:dyDescent="0.3">
      <c r="A551" s="8">
        <v>2</v>
      </c>
      <c r="B551" s="8" t="s">
        <v>960</v>
      </c>
      <c r="C551" s="8">
        <v>5</v>
      </c>
      <c r="D551" s="8">
        <v>592</v>
      </c>
      <c r="E551" s="8" t="s">
        <v>951</v>
      </c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12"/>
      <c r="AW551" s="12"/>
      <c r="AX551" s="12"/>
      <c r="AY551" s="12"/>
      <c r="AZ551" s="12"/>
      <c r="BA551" s="12"/>
      <c r="BB551" s="12"/>
      <c r="BC551" s="12"/>
      <c r="BD551" s="12"/>
      <c r="BE551" s="12"/>
      <c r="BF551" s="12"/>
      <c r="BG551" s="12"/>
      <c r="BH551" s="12"/>
      <c r="BI551" s="12"/>
      <c r="BJ551" s="12"/>
      <c r="BK551" s="12"/>
      <c r="BL551" s="12"/>
      <c r="BM551" s="12"/>
      <c r="BN551" s="12"/>
      <c r="BO551" s="12"/>
      <c r="BP551" s="12"/>
      <c r="BQ551" s="12"/>
      <c r="BR551" s="12"/>
      <c r="BS551" s="12"/>
      <c r="BT551" s="12"/>
      <c r="BU551" s="12"/>
      <c r="BV551" s="12"/>
      <c r="BW551" s="12"/>
      <c r="BX551" s="12"/>
      <c r="BY551" s="12"/>
      <c r="BZ551" s="12"/>
      <c r="CA551" s="12"/>
    </row>
    <row r="552" spans="1:79" x14ac:dyDescent="0.3">
      <c r="A552" s="8">
        <v>2</v>
      </c>
      <c r="B552" s="8" t="s">
        <v>960</v>
      </c>
      <c r="C552" s="8">
        <v>5</v>
      </c>
      <c r="D552" s="8">
        <v>593</v>
      </c>
      <c r="E552" s="8" t="s">
        <v>951</v>
      </c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12"/>
      <c r="AW552" s="12"/>
      <c r="AX552" s="12"/>
      <c r="AY552" s="12"/>
      <c r="AZ552" s="12"/>
      <c r="BA552" s="12"/>
      <c r="BB552" s="12"/>
      <c r="BC552" s="12"/>
      <c r="BD552" s="12"/>
      <c r="BE552" s="12"/>
      <c r="BF552" s="12"/>
      <c r="BG552" s="12"/>
      <c r="BH552" s="12"/>
      <c r="BI552" s="12"/>
      <c r="BJ552" s="12"/>
      <c r="BK552" s="12"/>
      <c r="BL552" s="12"/>
      <c r="BM552" s="12"/>
      <c r="BN552" s="12"/>
      <c r="BO552" s="12"/>
      <c r="BP552" s="12"/>
      <c r="BQ552" s="12"/>
      <c r="BR552" s="12"/>
      <c r="BS552" s="12"/>
      <c r="BT552" s="12"/>
      <c r="BU552" s="12"/>
      <c r="BV552" s="12"/>
      <c r="BW552" s="12"/>
      <c r="BX552" s="12"/>
      <c r="BY552" s="12"/>
      <c r="BZ552" s="12"/>
      <c r="CA552" s="12"/>
    </row>
    <row r="553" spans="1:79" x14ac:dyDescent="0.3">
      <c r="A553" s="8">
        <v>2</v>
      </c>
      <c r="B553" s="8" t="s">
        <v>960</v>
      </c>
      <c r="C553" s="8">
        <v>5</v>
      </c>
      <c r="D553" s="8">
        <v>594</v>
      </c>
      <c r="E553" s="8" t="s">
        <v>951</v>
      </c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12"/>
      <c r="AW553" s="12"/>
      <c r="AX553" s="12"/>
      <c r="AY553" s="12"/>
      <c r="AZ553" s="12"/>
      <c r="BA553" s="12"/>
      <c r="BB553" s="12"/>
      <c r="BC553" s="12"/>
      <c r="BD553" s="12"/>
      <c r="BE553" s="12"/>
      <c r="BF553" s="12"/>
      <c r="BG553" s="12"/>
      <c r="BH553" s="12"/>
      <c r="BI553" s="12"/>
      <c r="BJ553" s="12"/>
      <c r="BK553" s="12"/>
      <c r="BL553" s="12"/>
      <c r="BM553" s="12"/>
      <c r="BN553" s="12"/>
      <c r="BO553" s="12"/>
      <c r="BP553" s="12"/>
      <c r="BQ553" s="12"/>
      <c r="BR553" s="12"/>
      <c r="BS553" s="12"/>
      <c r="BT553" s="12"/>
      <c r="BU553" s="12"/>
      <c r="BV553" s="12"/>
      <c r="BW553" s="12"/>
      <c r="BX553" s="12"/>
      <c r="BY553" s="12"/>
      <c r="BZ553" s="12"/>
      <c r="CA553" s="12"/>
    </row>
    <row r="554" spans="1:79" x14ac:dyDescent="0.3">
      <c r="A554" s="8">
        <v>2</v>
      </c>
      <c r="B554" s="8" t="s">
        <v>960</v>
      </c>
      <c r="C554" s="8">
        <v>5</v>
      </c>
      <c r="D554" s="8">
        <v>595</v>
      </c>
      <c r="E554" s="8" t="s">
        <v>950</v>
      </c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12"/>
      <c r="AW554" s="12"/>
      <c r="AX554" s="12"/>
      <c r="AY554" s="12"/>
      <c r="AZ554" s="12"/>
      <c r="BA554" s="12"/>
      <c r="BB554" s="12"/>
      <c r="BC554" s="12"/>
      <c r="BD554" s="12"/>
      <c r="BE554" s="12"/>
      <c r="BF554" s="12"/>
      <c r="BG554" s="12"/>
      <c r="BH554" s="12"/>
      <c r="BI554" s="12"/>
      <c r="BJ554" s="12"/>
      <c r="BK554" s="12"/>
      <c r="BL554" s="12"/>
      <c r="BM554" s="12"/>
      <c r="BN554" s="12"/>
      <c r="BO554" s="12"/>
      <c r="BP554" s="12"/>
      <c r="BQ554" s="12"/>
      <c r="BR554" s="12"/>
      <c r="BS554" s="12"/>
      <c r="BT554" s="12"/>
      <c r="BU554" s="12"/>
      <c r="BV554" s="12"/>
      <c r="BW554" s="12"/>
      <c r="BX554" s="12"/>
      <c r="BY554" s="12"/>
      <c r="BZ554" s="12"/>
      <c r="CA554" s="12"/>
    </row>
    <row r="555" spans="1:79" x14ac:dyDescent="0.3">
      <c r="A555" s="8">
        <v>2</v>
      </c>
      <c r="B555" s="8" t="s">
        <v>960</v>
      </c>
      <c r="C555" s="8">
        <v>5</v>
      </c>
      <c r="D555" s="8">
        <v>596</v>
      </c>
      <c r="E555" s="8" t="s">
        <v>951</v>
      </c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12"/>
      <c r="AW555" s="12"/>
      <c r="AX555" s="12"/>
      <c r="AY555" s="12"/>
      <c r="AZ555" s="12"/>
      <c r="BA555" s="12"/>
      <c r="BB555" s="12"/>
      <c r="BC555" s="12"/>
      <c r="BD555" s="12"/>
      <c r="BE555" s="12"/>
      <c r="BF555" s="12"/>
      <c r="BG555" s="12"/>
      <c r="BH555" s="12"/>
      <c r="BI555" s="12"/>
      <c r="BJ555" s="12"/>
      <c r="BK555" s="12"/>
      <c r="BL555" s="12"/>
      <c r="BM555" s="12"/>
      <c r="BN555" s="12"/>
      <c r="BO555" s="12"/>
      <c r="BP555" s="12"/>
      <c r="BQ555" s="12"/>
      <c r="BR555" s="12"/>
      <c r="BS555" s="12"/>
      <c r="BT555" s="12"/>
      <c r="BU555" s="12"/>
      <c r="BV555" s="12"/>
      <c r="BW555" s="12"/>
      <c r="BX555" s="12"/>
      <c r="BY555" s="12"/>
      <c r="BZ555" s="12"/>
      <c r="CA555" s="12"/>
    </row>
    <row r="556" spans="1:79" x14ac:dyDescent="0.3">
      <c r="A556" s="8">
        <v>2</v>
      </c>
      <c r="B556" s="8" t="s">
        <v>960</v>
      </c>
      <c r="C556" s="8">
        <v>5</v>
      </c>
      <c r="D556" s="8">
        <v>597</v>
      </c>
      <c r="E556" s="8" t="s">
        <v>951</v>
      </c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12"/>
      <c r="AW556" s="12"/>
      <c r="AX556" s="12"/>
      <c r="AY556" s="12"/>
      <c r="AZ556" s="12"/>
      <c r="BA556" s="12"/>
      <c r="BB556" s="12"/>
      <c r="BC556" s="12"/>
      <c r="BD556" s="12"/>
      <c r="BE556" s="12"/>
      <c r="BF556" s="12"/>
      <c r="BG556" s="12"/>
      <c r="BH556" s="12"/>
      <c r="BI556" s="12"/>
      <c r="BJ556" s="12"/>
      <c r="BK556" s="12"/>
      <c r="BL556" s="12"/>
      <c r="BM556" s="12"/>
      <c r="BN556" s="12"/>
      <c r="BO556" s="12"/>
      <c r="BP556" s="12"/>
      <c r="BQ556" s="12"/>
      <c r="BR556" s="12"/>
      <c r="BS556" s="12"/>
      <c r="BT556" s="12"/>
      <c r="BU556" s="12"/>
      <c r="BV556" s="12"/>
      <c r="BW556" s="12"/>
      <c r="BX556" s="12"/>
      <c r="BY556" s="12"/>
      <c r="BZ556" s="12"/>
      <c r="CA556" s="12"/>
    </row>
    <row r="557" spans="1:79" x14ac:dyDescent="0.3">
      <c r="A557" s="8">
        <v>2</v>
      </c>
      <c r="B557" s="8" t="s">
        <v>960</v>
      </c>
      <c r="C557" s="8">
        <v>5</v>
      </c>
      <c r="D557" s="8">
        <v>598</v>
      </c>
      <c r="E557" s="8" t="s">
        <v>951</v>
      </c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12"/>
      <c r="AW557" s="12"/>
      <c r="AX557" s="12"/>
      <c r="AY557" s="12"/>
      <c r="AZ557" s="12"/>
      <c r="BA557" s="12"/>
      <c r="BB557" s="12"/>
      <c r="BC557" s="12"/>
      <c r="BD557" s="12"/>
      <c r="BE557" s="12"/>
      <c r="BF557" s="12"/>
      <c r="BG557" s="12"/>
      <c r="BH557" s="12"/>
      <c r="BI557" s="12"/>
      <c r="BJ557" s="12"/>
      <c r="BK557" s="12"/>
      <c r="BL557" s="12"/>
      <c r="BM557" s="12"/>
      <c r="BN557" s="12"/>
      <c r="BO557" s="12"/>
      <c r="BP557" s="12"/>
      <c r="BQ557" s="12"/>
      <c r="BR557" s="12"/>
      <c r="BS557" s="12"/>
      <c r="BT557" s="12"/>
      <c r="BU557" s="12"/>
      <c r="BV557" s="12"/>
      <c r="BW557" s="12"/>
      <c r="BX557" s="12"/>
      <c r="BY557" s="12"/>
      <c r="BZ557" s="12"/>
      <c r="CA557" s="12"/>
    </row>
    <row r="558" spans="1:79" x14ac:dyDescent="0.3">
      <c r="A558" s="8">
        <v>2</v>
      </c>
      <c r="B558" s="8" t="s">
        <v>960</v>
      </c>
      <c r="C558" s="8">
        <v>5</v>
      </c>
      <c r="D558" s="8">
        <v>599</v>
      </c>
      <c r="E558" s="8" t="s">
        <v>950</v>
      </c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12"/>
      <c r="AW558" s="12"/>
      <c r="AX558" s="12"/>
      <c r="AY558" s="12"/>
      <c r="AZ558" s="12"/>
      <c r="BA558" s="12"/>
      <c r="BB558" s="12"/>
      <c r="BC558" s="12"/>
      <c r="BD558" s="12"/>
      <c r="BE558" s="12"/>
      <c r="BF558" s="12"/>
      <c r="BG558" s="12"/>
      <c r="BH558" s="12"/>
      <c r="BI558" s="12"/>
      <c r="BJ558" s="12"/>
      <c r="BK558" s="12"/>
      <c r="BL558" s="12"/>
      <c r="BM558" s="12"/>
      <c r="BN558" s="12"/>
      <c r="BO558" s="12"/>
      <c r="BP558" s="12"/>
      <c r="BQ558" s="12"/>
      <c r="BR558" s="12"/>
      <c r="BS558" s="12"/>
      <c r="BT558" s="12"/>
      <c r="BU558" s="12"/>
      <c r="BV558" s="12"/>
      <c r="BW558" s="12"/>
      <c r="BX558" s="12"/>
      <c r="BY558" s="12"/>
      <c r="BZ558" s="12"/>
      <c r="CA558" s="12"/>
    </row>
    <row r="559" spans="1:79" x14ac:dyDescent="0.3">
      <c r="A559" s="8">
        <v>2</v>
      </c>
      <c r="B559" s="8" t="s">
        <v>960</v>
      </c>
      <c r="C559" s="8">
        <v>5</v>
      </c>
      <c r="D559" s="8">
        <v>600</v>
      </c>
      <c r="E559" s="8" t="s">
        <v>950</v>
      </c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12"/>
      <c r="AW559" s="12"/>
      <c r="AX559" s="12"/>
      <c r="AY559" s="12"/>
      <c r="AZ559" s="12"/>
      <c r="BA559" s="12"/>
      <c r="BB559" s="12"/>
      <c r="BC559" s="12"/>
      <c r="BD559" s="12"/>
      <c r="BE559" s="12"/>
      <c r="BF559" s="12"/>
      <c r="BG559" s="12"/>
      <c r="BH559" s="12"/>
      <c r="BI559" s="12"/>
      <c r="BJ559" s="12"/>
      <c r="BK559" s="12"/>
      <c r="BL559" s="12"/>
      <c r="BM559" s="12"/>
      <c r="BN559" s="12"/>
      <c r="BO559" s="12"/>
      <c r="BP559" s="12"/>
      <c r="BQ559" s="12"/>
      <c r="BR559" s="12"/>
      <c r="BS559" s="12"/>
      <c r="BT559" s="12"/>
      <c r="BU559" s="12"/>
      <c r="BV559" s="12"/>
      <c r="BW559" s="12"/>
      <c r="BX559" s="12"/>
      <c r="BY559" s="12"/>
      <c r="BZ559" s="12"/>
      <c r="CA559" s="12"/>
    </row>
    <row r="560" spans="1:79" x14ac:dyDescent="0.3">
      <c r="A560" s="8">
        <v>2</v>
      </c>
      <c r="B560" s="8" t="s">
        <v>960</v>
      </c>
      <c r="C560" s="8">
        <v>5</v>
      </c>
      <c r="D560" s="8">
        <v>601</v>
      </c>
      <c r="E560" s="8" t="s">
        <v>951</v>
      </c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12"/>
      <c r="AW560" s="12"/>
      <c r="AX560" s="12"/>
      <c r="AY560" s="12"/>
      <c r="AZ560" s="12"/>
      <c r="BA560" s="12"/>
      <c r="BB560" s="12"/>
      <c r="BC560" s="12"/>
      <c r="BD560" s="12"/>
      <c r="BE560" s="12"/>
      <c r="BF560" s="12"/>
      <c r="BG560" s="12"/>
      <c r="BH560" s="12"/>
      <c r="BI560" s="12"/>
      <c r="BJ560" s="12"/>
      <c r="BK560" s="12"/>
      <c r="BL560" s="12"/>
      <c r="BM560" s="12"/>
      <c r="BN560" s="12"/>
      <c r="BO560" s="12"/>
      <c r="BP560" s="12"/>
      <c r="BQ560" s="12"/>
      <c r="BR560" s="12"/>
      <c r="BS560" s="12"/>
      <c r="BT560" s="12"/>
      <c r="BU560" s="12"/>
      <c r="BV560" s="12"/>
      <c r="BW560" s="12"/>
      <c r="BX560" s="12"/>
      <c r="BY560" s="12"/>
      <c r="BZ560" s="12"/>
      <c r="CA560" s="12"/>
    </row>
    <row r="561" spans="1:79" x14ac:dyDescent="0.3">
      <c r="A561" s="8">
        <v>2</v>
      </c>
      <c r="B561" s="8" t="s">
        <v>960</v>
      </c>
      <c r="C561" s="8">
        <v>5</v>
      </c>
      <c r="D561" s="8">
        <v>602</v>
      </c>
      <c r="E561" s="8" t="s">
        <v>950</v>
      </c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12"/>
      <c r="AW561" s="12"/>
      <c r="AX561" s="12"/>
      <c r="AY561" s="12"/>
      <c r="AZ561" s="12"/>
      <c r="BA561" s="12"/>
      <c r="BB561" s="12"/>
      <c r="BC561" s="12"/>
      <c r="BD561" s="12"/>
      <c r="BE561" s="12"/>
      <c r="BF561" s="12"/>
      <c r="BG561" s="12"/>
      <c r="BH561" s="12"/>
      <c r="BI561" s="12"/>
      <c r="BJ561" s="12"/>
      <c r="BK561" s="12"/>
      <c r="BL561" s="12"/>
      <c r="BM561" s="12"/>
      <c r="BN561" s="12"/>
      <c r="BO561" s="12"/>
      <c r="BP561" s="12"/>
      <c r="BQ561" s="12"/>
      <c r="BR561" s="12"/>
      <c r="BS561" s="12"/>
      <c r="BT561" s="12"/>
      <c r="BU561" s="12"/>
      <c r="BV561" s="12"/>
      <c r="BW561" s="12"/>
      <c r="BX561" s="12"/>
      <c r="BY561" s="12"/>
      <c r="BZ561" s="12"/>
      <c r="CA561" s="12"/>
    </row>
    <row r="562" spans="1:79" x14ac:dyDescent="0.3">
      <c r="A562" s="8">
        <v>2</v>
      </c>
      <c r="B562" s="8" t="s">
        <v>960</v>
      </c>
      <c r="C562" s="8">
        <v>5</v>
      </c>
      <c r="D562" s="8">
        <v>603</v>
      </c>
      <c r="E562" s="8" t="s">
        <v>950</v>
      </c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12"/>
      <c r="AW562" s="12"/>
      <c r="AX562" s="12"/>
      <c r="AY562" s="12"/>
      <c r="AZ562" s="12"/>
      <c r="BA562" s="12"/>
      <c r="BB562" s="12"/>
      <c r="BC562" s="12"/>
      <c r="BD562" s="12"/>
      <c r="BE562" s="12"/>
      <c r="BF562" s="12"/>
      <c r="BG562" s="12"/>
      <c r="BH562" s="12"/>
      <c r="BI562" s="12"/>
      <c r="BJ562" s="12"/>
      <c r="BK562" s="12"/>
      <c r="BL562" s="12"/>
      <c r="BM562" s="12"/>
      <c r="BN562" s="12"/>
      <c r="BO562" s="12"/>
      <c r="BP562" s="12"/>
      <c r="BQ562" s="12"/>
      <c r="BR562" s="12"/>
      <c r="BS562" s="12"/>
      <c r="BT562" s="12"/>
      <c r="BU562" s="12"/>
      <c r="BV562" s="12"/>
      <c r="BW562" s="12"/>
      <c r="BX562" s="12"/>
      <c r="BY562" s="12"/>
      <c r="BZ562" s="12"/>
      <c r="CA562" s="12"/>
    </row>
    <row r="563" spans="1:79" x14ac:dyDescent="0.3">
      <c r="A563" s="8">
        <v>2</v>
      </c>
      <c r="B563" s="8" t="s">
        <v>960</v>
      </c>
      <c r="C563" s="8">
        <v>5</v>
      </c>
      <c r="D563" s="8">
        <v>604</v>
      </c>
      <c r="E563" s="8" t="s">
        <v>950</v>
      </c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12"/>
      <c r="AW563" s="12"/>
      <c r="AX563" s="12"/>
      <c r="AY563" s="12"/>
      <c r="AZ563" s="12"/>
      <c r="BA563" s="12"/>
      <c r="BB563" s="12"/>
      <c r="BC563" s="12"/>
      <c r="BD563" s="12"/>
      <c r="BE563" s="12"/>
      <c r="BF563" s="12"/>
      <c r="BG563" s="12"/>
      <c r="BH563" s="12"/>
      <c r="BI563" s="12"/>
      <c r="BJ563" s="12"/>
      <c r="BK563" s="12"/>
      <c r="BL563" s="12"/>
      <c r="BM563" s="12"/>
      <c r="BN563" s="12"/>
      <c r="BO563" s="12"/>
      <c r="BP563" s="12"/>
      <c r="BQ563" s="12"/>
      <c r="BR563" s="12"/>
      <c r="BS563" s="12"/>
      <c r="BT563" s="12"/>
      <c r="BU563" s="12"/>
      <c r="BV563" s="12"/>
      <c r="BW563" s="12"/>
      <c r="BX563" s="12"/>
      <c r="BY563" s="12"/>
      <c r="BZ563" s="12"/>
      <c r="CA563" s="12"/>
    </row>
    <row r="564" spans="1:79" x14ac:dyDescent="0.3">
      <c r="A564" s="8">
        <v>2</v>
      </c>
      <c r="B564" s="8" t="s">
        <v>960</v>
      </c>
      <c r="C564" s="8">
        <v>5</v>
      </c>
      <c r="D564" s="8">
        <v>605</v>
      </c>
      <c r="E564" s="8" t="s">
        <v>951</v>
      </c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12"/>
      <c r="AW564" s="12"/>
      <c r="AX564" s="12"/>
      <c r="AY564" s="12"/>
      <c r="AZ564" s="12"/>
      <c r="BA564" s="12"/>
      <c r="BB564" s="12"/>
      <c r="BC564" s="12"/>
      <c r="BD564" s="12"/>
      <c r="BE564" s="12"/>
      <c r="BF564" s="12"/>
      <c r="BG564" s="12"/>
      <c r="BH564" s="12"/>
      <c r="BI564" s="12"/>
      <c r="BJ564" s="12"/>
      <c r="BK564" s="12"/>
      <c r="BL564" s="12"/>
      <c r="BM564" s="12"/>
      <c r="BN564" s="12"/>
      <c r="BO564" s="12"/>
      <c r="BP564" s="12"/>
      <c r="BQ564" s="12"/>
      <c r="BR564" s="12"/>
      <c r="BS564" s="12"/>
      <c r="BT564" s="12"/>
      <c r="BU564" s="12"/>
      <c r="BV564" s="12"/>
      <c r="BW564" s="12"/>
      <c r="BX564" s="12"/>
      <c r="BY564" s="12"/>
      <c r="BZ564" s="12"/>
      <c r="CA564" s="12"/>
    </row>
    <row r="565" spans="1:79" x14ac:dyDescent="0.3">
      <c r="A565" s="8">
        <v>2</v>
      </c>
      <c r="B565" s="8" t="s">
        <v>960</v>
      </c>
      <c r="C565" s="8">
        <v>5</v>
      </c>
      <c r="D565" s="8">
        <v>606</v>
      </c>
      <c r="E565" s="8" t="s">
        <v>950</v>
      </c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12"/>
      <c r="AW565" s="12"/>
      <c r="AX565" s="12"/>
      <c r="AY565" s="12"/>
      <c r="AZ565" s="12"/>
      <c r="BA565" s="12"/>
      <c r="BB565" s="12"/>
      <c r="BC565" s="12"/>
      <c r="BD565" s="12"/>
      <c r="BE565" s="12"/>
      <c r="BF565" s="12"/>
      <c r="BG565" s="12"/>
      <c r="BH565" s="12"/>
      <c r="BI565" s="12"/>
      <c r="BJ565" s="12"/>
      <c r="BK565" s="12"/>
      <c r="BL565" s="12"/>
      <c r="BM565" s="12"/>
      <c r="BN565" s="12"/>
      <c r="BO565" s="12"/>
      <c r="BP565" s="12"/>
      <c r="BQ565" s="12"/>
      <c r="BR565" s="12"/>
      <c r="BS565" s="12"/>
      <c r="BT565" s="12"/>
      <c r="BU565" s="12"/>
      <c r="BV565" s="12"/>
      <c r="BW565" s="12"/>
      <c r="BX565" s="12"/>
      <c r="BY565" s="12"/>
      <c r="BZ565" s="12"/>
      <c r="CA565" s="12"/>
    </row>
    <row r="566" spans="1:79" x14ac:dyDescent="0.3">
      <c r="A566" s="8">
        <v>2</v>
      </c>
      <c r="B566" s="8" t="s">
        <v>960</v>
      </c>
      <c r="C566" s="8">
        <v>5</v>
      </c>
      <c r="D566" s="8">
        <v>607</v>
      </c>
      <c r="E566" s="8" t="s">
        <v>950</v>
      </c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12"/>
      <c r="AW566" s="12"/>
      <c r="AX566" s="12"/>
      <c r="AY566" s="12"/>
      <c r="AZ566" s="12"/>
      <c r="BA566" s="12"/>
      <c r="BB566" s="12"/>
      <c r="BC566" s="12"/>
      <c r="BD566" s="12"/>
      <c r="BE566" s="12"/>
      <c r="BF566" s="12"/>
      <c r="BG566" s="12"/>
      <c r="BH566" s="12"/>
      <c r="BI566" s="12"/>
      <c r="BJ566" s="12"/>
      <c r="BK566" s="12"/>
      <c r="BL566" s="12"/>
      <c r="BM566" s="12"/>
      <c r="BN566" s="12"/>
      <c r="BO566" s="12"/>
      <c r="BP566" s="12"/>
      <c r="BQ566" s="12"/>
      <c r="BR566" s="12"/>
      <c r="BS566" s="12"/>
      <c r="BT566" s="12"/>
      <c r="BU566" s="12"/>
      <c r="BV566" s="12"/>
      <c r="BW566" s="12"/>
      <c r="BX566" s="12"/>
      <c r="BY566" s="12"/>
      <c r="BZ566" s="12"/>
      <c r="CA566" s="12"/>
    </row>
    <row r="567" spans="1:79" x14ac:dyDescent="0.3">
      <c r="A567" s="8">
        <v>3</v>
      </c>
      <c r="B567" s="8" t="s">
        <v>960</v>
      </c>
      <c r="C567" s="8">
        <v>5</v>
      </c>
      <c r="D567" s="8">
        <v>608</v>
      </c>
      <c r="E567" s="8" t="s">
        <v>951</v>
      </c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12"/>
      <c r="AW567" s="12"/>
      <c r="AX567" s="12"/>
      <c r="AY567" s="12"/>
      <c r="AZ567" s="12"/>
      <c r="BA567" s="12"/>
      <c r="BB567" s="12"/>
      <c r="BC567" s="12"/>
      <c r="BD567" s="12"/>
      <c r="BE567" s="12"/>
      <c r="BF567" s="12"/>
      <c r="BG567" s="12"/>
      <c r="BH567" s="12"/>
      <c r="BI567" s="12"/>
      <c r="BJ567" s="12"/>
      <c r="BK567" s="12"/>
      <c r="BL567" s="12"/>
      <c r="BM567" s="12"/>
      <c r="BN567" s="12"/>
      <c r="BO567" s="12"/>
      <c r="BP567" s="12"/>
      <c r="BQ567" s="12"/>
      <c r="BR567" s="12"/>
      <c r="BS567" s="12"/>
      <c r="BT567" s="12"/>
      <c r="BU567" s="12"/>
      <c r="BV567" s="12"/>
      <c r="BW567" s="12"/>
      <c r="BX567" s="12"/>
      <c r="BY567" s="12"/>
      <c r="BZ567" s="12"/>
      <c r="CA567" s="12"/>
    </row>
    <row r="568" spans="1:79" x14ac:dyDescent="0.3">
      <c r="A568" s="8">
        <v>3</v>
      </c>
      <c r="B568" s="8" t="s">
        <v>960</v>
      </c>
      <c r="C568" s="8">
        <v>5</v>
      </c>
      <c r="D568" s="8">
        <v>609</v>
      </c>
      <c r="E568" s="8" t="s">
        <v>951</v>
      </c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12"/>
      <c r="AW568" s="12"/>
      <c r="AX568" s="12"/>
      <c r="AY568" s="12"/>
      <c r="AZ568" s="12"/>
      <c r="BA568" s="12"/>
      <c r="BB568" s="12"/>
      <c r="BC568" s="12"/>
      <c r="BD568" s="12"/>
      <c r="BE568" s="12"/>
      <c r="BF568" s="12"/>
      <c r="BG568" s="12"/>
      <c r="BH568" s="12"/>
      <c r="BI568" s="12"/>
      <c r="BJ568" s="12"/>
      <c r="BK568" s="12"/>
      <c r="BL568" s="12"/>
      <c r="BM568" s="12"/>
      <c r="BN568" s="12"/>
      <c r="BO568" s="12"/>
      <c r="BP568" s="12"/>
      <c r="BQ568" s="12"/>
      <c r="BR568" s="12"/>
      <c r="BS568" s="12"/>
      <c r="BT568" s="12"/>
      <c r="BU568" s="12"/>
      <c r="BV568" s="12"/>
      <c r="BW568" s="12"/>
      <c r="BX568" s="12"/>
      <c r="BY568" s="12"/>
      <c r="BZ568" s="12"/>
      <c r="CA568" s="12"/>
    </row>
    <row r="569" spans="1:79" x14ac:dyDescent="0.3">
      <c r="A569" s="8">
        <v>3</v>
      </c>
      <c r="B569" s="8" t="s">
        <v>960</v>
      </c>
      <c r="C569" s="8">
        <v>4</v>
      </c>
      <c r="D569" s="8">
        <v>610</v>
      </c>
      <c r="E569" s="8" t="s">
        <v>950</v>
      </c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12"/>
      <c r="AW569" s="12"/>
      <c r="AX569" s="12"/>
      <c r="AY569" s="12"/>
      <c r="AZ569" s="12"/>
      <c r="BA569" s="12"/>
      <c r="BB569" s="12"/>
      <c r="BC569" s="12"/>
      <c r="BD569" s="12"/>
      <c r="BE569" s="12"/>
      <c r="BF569" s="12"/>
      <c r="BG569" s="12"/>
      <c r="BH569" s="12"/>
      <c r="BI569" s="12"/>
      <c r="BJ569" s="12"/>
      <c r="BK569" s="12"/>
      <c r="BL569" s="12"/>
      <c r="BM569" s="12"/>
      <c r="BN569" s="12"/>
      <c r="BO569" s="12"/>
      <c r="BP569" s="12"/>
      <c r="BQ569" s="12"/>
      <c r="BR569" s="12"/>
      <c r="BS569" s="12"/>
      <c r="BT569" s="12"/>
      <c r="BU569" s="12"/>
      <c r="BV569" s="12"/>
      <c r="BW569" s="12"/>
      <c r="BX569" s="12"/>
      <c r="BY569" s="12"/>
      <c r="BZ569" s="12"/>
      <c r="CA569" s="12"/>
    </row>
    <row r="570" spans="1:79" x14ac:dyDescent="0.3">
      <c r="A570" s="8">
        <v>3</v>
      </c>
      <c r="B570" s="8" t="s">
        <v>960</v>
      </c>
      <c r="C570" s="8">
        <v>4</v>
      </c>
      <c r="D570" s="8">
        <v>611</v>
      </c>
      <c r="E570" s="8" t="s">
        <v>950</v>
      </c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12"/>
      <c r="AW570" s="12"/>
      <c r="AX570" s="12"/>
      <c r="AY570" s="12"/>
      <c r="AZ570" s="12"/>
      <c r="BA570" s="12"/>
      <c r="BB570" s="12"/>
      <c r="BC570" s="12"/>
      <c r="BD570" s="12"/>
      <c r="BE570" s="12"/>
      <c r="BF570" s="12"/>
      <c r="BG570" s="12"/>
      <c r="BH570" s="12"/>
      <c r="BI570" s="12"/>
      <c r="BJ570" s="12"/>
      <c r="BK570" s="12"/>
      <c r="BL570" s="12"/>
      <c r="BM570" s="12"/>
      <c r="BN570" s="12"/>
      <c r="BO570" s="12"/>
      <c r="BP570" s="12"/>
      <c r="BQ570" s="12"/>
      <c r="BR570" s="12"/>
      <c r="BS570" s="12"/>
      <c r="BT570" s="12"/>
      <c r="BU570" s="12"/>
      <c r="BV570" s="12"/>
      <c r="BW570" s="12"/>
      <c r="BX570" s="12"/>
      <c r="BY570" s="12"/>
      <c r="BZ570" s="12"/>
      <c r="CA570" s="12"/>
    </row>
    <row r="571" spans="1:79" x14ac:dyDescent="0.3">
      <c r="A571" s="8">
        <v>3</v>
      </c>
      <c r="B571" s="8" t="s">
        <v>960</v>
      </c>
      <c r="C571" s="8">
        <v>4</v>
      </c>
      <c r="D571" s="8">
        <v>612</v>
      </c>
      <c r="E571" s="8" t="s">
        <v>950</v>
      </c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12"/>
      <c r="AW571" s="12"/>
      <c r="AX571" s="12"/>
      <c r="AY571" s="12"/>
      <c r="AZ571" s="12"/>
      <c r="BA571" s="12"/>
      <c r="BB571" s="12"/>
      <c r="BC571" s="12"/>
      <c r="BD571" s="12"/>
      <c r="BE571" s="12"/>
      <c r="BF571" s="12"/>
      <c r="BG571" s="12"/>
      <c r="BH571" s="12"/>
      <c r="BI571" s="12"/>
      <c r="BJ571" s="12"/>
      <c r="BK571" s="12"/>
      <c r="BL571" s="12"/>
      <c r="BM571" s="12"/>
      <c r="BN571" s="12"/>
      <c r="BO571" s="12"/>
      <c r="BP571" s="12"/>
      <c r="BQ571" s="12"/>
      <c r="BR571" s="12"/>
      <c r="BS571" s="12"/>
      <c r="BT571" s="12"/>
      <c r="BU571" s="12"/>
      <c r="BV571" s="12"/>
      <c r="BW571" s="12"/>
      <c r="BX571" s="12"/>
      <c r="BY571" s="12"/>
      <c r="BZ571" s="12"/>
      <c r="CA571" s="12"/>
    </row>
    <row r="572" spans="1:79" x14ac:dyDescent="0.3">
      <c r="A572" s="8">
        <v>3</v>
      </c>
      <c r="B572" s="8" t="s">
        <v>960</v>
      </c>
      <c r="C572" s="8">
        <v>4</v>
      </c>
      <c r="D572" s="8">
        <v>613</v>
      </c>
      <c r="E572" s="8" t="s">
        <v>951</v>
      </c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12"/>
      <c r="AW572" s="12"/>
      <c r="AX572" s="12"/>
      <c r="AY572" s="12"/>
      <c r="AZ572" s="12"/>
      <c r="BA572" s="12"/>
      <c r="BB572" s="12"/>
      <c r="BC572" s="12"/>
      <c r="BD572" s="12"/>
      <c r="BE572" s="12"/>
      <c r="BF572" s="12"/>
      <c r="BG572" s="12"/>
      <c r="BH572" s="12"/>
      <c r="BI572" s="12"/>
      <c r="BJ572" s="12"/>
      <c r="BK572" s="12"/>
      <c r="BL572" s="12"/>
      <c r="BM572" s="12"/>
      <c r="BN572" s="12"/>
      <c r="BO572" s="12"/>
      <c r="BP572" s="12"/>
      <c r="BQ572" s="12"/>
      <c r="BR572" s="12"/>
      <c r="BS572" s="12"/>
      <c r="BT572" s="12"/>
      <c r="BU572" s="12"/>
      <c r="BV572" s="12"/>
      <c r="BW572" s="12"/>
      <c r="BX572" s="12"/>
      <c r="BY572" s="12"/>
      <c r="BZ572" s="12"/>
      <c r="CA572" s="12"/>
    </row>
    <row r="573" spans="1:79" x14ac:dyDescent="0.3">
      <c r="A573" s="8">
        <v>3</v>
      </c>
      <c r="B573" s="8" t="s">
        <v>960</v>
      </c>
      <c r="C573" s="8">
        <v>4</v>
      </c>
      <c r="D573" s="8">
        <v>614</v>
      </c>
      <c r="E573" s="8" t="s">
        <v>950</v>
      </c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12"/>
      <c r="AW573" s="12"/>
      <c r="AX573" s="12"/>
      <c r="AY573" s="12"/>
      <c r="AZ573" s="12"/>
      <c r="BA573" s="12"/>
      <c r="BB573" s="12"/>
      <c r="BC573" s="12"/>
      <c r="BD573" s="12"/>
      <c r="BE573" s="12"/>
      <c r="BF573" s="12"/>
      <c r="BG573" s="12"/>
      <c r="BH573" s="12"/>
      <c r="BI573" s="12"/>
      <c r="BJ573" s="12"/>
      <c r="BK573" s="12"/>
      <c r="BL573" s="12"/>
      <c r="BM573" s="12"/>
      <c r="BN573" s="12"/>
      <c r="BO573" s="12"/>
      <c r="BP573" s="12"/>
      <c r="BQ573" s="12"/>
      <c r="BR573" s="12"/>
      <c r="BS573" s="12"/>
      <c r="BT573" s="12"/>
      <c r="BU573" s="12"/>
      <c r="BV573" s="12"/>
      <c r="BW573" s="12"/>
      <c r="BX573" s="12"/>
      <c r="BY573" s="12"/>
      <c r="BZ573" s="12"/>
      <c r="CA573" s="12"/>
    </row>
    <row r="574" spans="1:79" x14ac:dyDescent="0.3">
      <c r="A574" s="8">
        <v>3</v>
      </c>
      <c r="B574" s="8" t="s">
        <v>960</v>
      </c>
      <c r="C574" s="8">
        <v>4</v>
      </c>
      <c r="D574" s="8">
        <v>615</v>
      </c>
      <c r="E574" s="8" t="s">
        <v>950</v>
      </c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12"/>
      <c r="AW574" s="12"/>
      <c r="AX574" s="12"/>
      <c r="AY574" s="12"/>
      <c r="AZ574" s="12"/>
      <c r="BA574" s="12"/>
      <c r="BB574" s="12"/>
      <c r="BC574" s="12"/>
      <c r="BD574" s="12"/>
      <c r="BE574" s="12"/>
      <c r="BF574" s="12"/>
      <c r="BG574" s="12"/>
      <c r="BH574" s="12"/>
      <c r="BI574" s="12"/>
      <c r="BJ574" s="12"/>
      <c r="BK574" s="12"/>
      <c r="BL574" s="12"/>
      <c r="BM574" s="12"/>
      <c r="BN574" s="12"/>
      <c r="BO574" s="12"/>
      <c r="BP574" s="12"/>
      <c r="BQ574" s="12"/>
      <c r="BR574" s="12"/>
      <c r="BS574" s="12"/>
      <c r="BT574" s="12"/>
      <c r="BU574" s="12"/>
      <c r="BV574" s="12"/>
      <c r="BW574" s="12"/>
      <c r="BX574" s="12"/>
      <c r="BY574" s="12"/>
      <c r="BZ574" s="12"/>
      <c r="CA574" s="12"/>
    </row>
    <row r="575" spans="1:79" x14ac:dyDescent="0.3">
      <c r="A575" s="8">
        <v>3</v>
      </c>
      <c r="B575" s="8" t="s">
        <v>960</v>
      </c>
      <c r="C575" s="8">
        <v>4</v>
      </c>
      <c r="D575" s="8">
        <v>616</v>
      </c>
      <c r="E575" s="8" t="s">
        <v>950</v>
      </c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12"/>
      <c r="AW575" s="12"/>
      <c r="AX575" s="12"/>
      <c r="AY575" s="12"/>
      <c r="AZ575" s="12"/>
      <c r="BA575" s="12"/>
      <c r="BB575" s="12"/>
      <c r="BC575" s="12"/>
      <c r="BD575" s="12"/>
      <c r="BE575" s="12"/>
      <c r="BF575" s="12"/>
      <c r="BG575" s="12"/>
      <c r="BH575" s="12"/>
      <c r="BI575" s="12"/>
      <c r="BJ575" s="12"/>
      <c r="BK575" s="12"/>
      <c r="BL575" s="12"/>
      <c r="BM575" s="12"/>
      <c r="BN575" s="12"/>
      <c r="BO575" s="12"/>
      <c r="BP575" s="12"/>
      <c r="BQ575" s="12"/>
      <c r="BR575" s="12"/>
      <c r="BS575" s="12"/>
      <c r="BT575" s="12"/>
      <c r="BU575" s="12"/>
      <c r="BV575" s="12"/>
      <c r="BW575" s="12"/>
      <c r="BX575" s="12"/>
      <c r="BY575" s="12"/>
      <c r="BZ575" s="12"/>
      <c r="CA575" s="12"/>
    </row>
    <row r="576" spans="1:79" x14ac:dyDescent="0.3">
      <c r="A576" s="8">
        <v>3</v>
      </c>
      <c r="B576" s="8" t="s">
        <v>960</v>
      </c>
      <c r="C576" s="8">
        <v>4</v>
      </c>
      <c r="D576" s="8">
        <v>617</v>
      </c>
      <c r="E576" s="8" t="s">
        <v>951</v>
      </c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12"/>
      <c r="AW576" s="12"/>
      <c r="AX576" s="12"/>
      <c r="AY576" s="12"/>
      <c r="AZ576" s="12"/>
      <c r="BA576" s="12"/>
      <c r="BB576" s="12"/>
      <c r="BC576" s="12"/>
      <c r="BD576" s="12"/>
      <c r="BE576" s="12"/>
      <c r="BF576" s="12"/>
      <c r="BG576" s="12"/>
      <c r="BH576" s="12"/>
      <c r="BI576" s="12"/>
      <c r="BJ576" s="12"/>
      <c r="BK576" s="12"/>
      <c r="BL576" s="12"/>
      <c r="BM576" s="12"/>
      <c r="BN576" s="12"/>
      <c r="BO576" s="12"/>
      <c r="BP576" s="12"/>
      <c r="BQ576" s="12"/>
      <c r="BR576" s="12"/>
      <c r="BS576" s="12"/>
      <c r="BT576" s="12"/>
      <c r="BU576" s="12"/>
      <c r="BV576" s="12"/>
      <c r="BW576" s="12"/>
      <c r="BX576" s="12"/>
      <c r="BY576" s="12"/>
      <c r="BZ576" s="12"/>
      <c r="CA576" s="12"/>
    </row>
    <row r="577" spans="1:79" x14ac:dyDescent="0.3">
      <c r="A577" s="8">
        <v>1</v>
      </c>
      <c r="B577" s="8" t="s">
        <v>960</v>
      </c>
      <c r="C577" s="8">
        <v>4</v>
      </c>
      <c r="D577" s="8">
        <v>618</v>
      </c>
      <c r="E577" s="8" t="s">
        <v>950</v>
      </c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12"/>
      <c r="AW577" s="12"/>
      <c r="AX577" s="12"/>
      <c r="AY577" s="12"/>
      <c r="AZ577" s="12"/>
      <c r="BA577" s="12"/>
      <c r="BB577" s="12"/>
      <c r="BC577" s="12"/>
      <c r="BD577" s="12"/>
      <c r="BE577" s="12"/>
      <c r="BF577" s="12"/>
      <c r="BG577" s="12"/>
      <c r="BH577" s="12"/>
      <c r="BI577" s="12"/>
      <c r="BJ577" s="12"/>
      <c r="BK577" s="12"/>
      <c r="BL577" s="12"/>
      <c r="BM577" s="12"/>
      <c r="BN577" s="12"/>
      <c r="BO577" s="12"/>
      <c r="BP577" s="12"/>
      <c r="BQ577" s="12"/>
      <c r="BR577" s="12"/>
      <c r="BS577" s="12"/>
      <c r="BT577" s="12"/>
      <c r="BU577" s="12"/>
      <c r="BV577" s="12"/>
      <c r="BW577" s="12"/>
      <c r="BX577" s="12"/>
      <c r="BY577" s="12"/>
      <c r="BZ577" s="12"/>
      <c r="CA577" s="12"/>
    </row>
    <row r="578" spans="1:79" x14ac:dyDescent="0.3">
      <c r="A578" s="8">
        <v>1</v>
      </c>
      <c r="B578" s="8" t="s">
        <v>960</v>
      </c>
      <c r="C578" s="8">
        <v>4</v>
      </c>
      <c r="D578" s="8">
        <v>619</v>
      </c>
      <c r="E578" s="8" t="s">
        <v>951</v>
      </c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12"/>
      <c r="AW578" s="12"/>
      <c r="AX578" s="12"/>
      <c r="AY578" s="12"/>
      <c r="AZ578" s="12"/>
      <c r="BA578" s="12"/>
      <c r="BB578" s="12"/>
      <c r="BC578" s="12"/>
      <c r="BD578" s="12"/>
      <c r="BE578" s="12"/>
      <c r="BF578" s="12"/>
      <c r="BG578" s="12"/>
      <c r="BH578" s="12"/>
      <c r="BI578" s="12"/>
      <c r="BJ578" s="12"/>
      <c r="BK578" s="12"/>
      <c r="BL578" s="12"/>
      <c r="BM578" s="12"/>
      <c r="BN578" s="12"/>
      <c r="BO578" s="12"/>
      <c r="BP578" s="12"/>
      <c r="BQ578" s="12"/>
      <c r="BR578" s="12"/>
      <c r="BS578" s="12"/>
      <c r="BT578" s="12"/>
      <c r="BU578" s="12"/>
      <c r="BV578" s="12"/>
      <c r="BW578" s="12"/>
      <c r="BX578" s="12"/>
      <c r="BY578" s="12"/>
      <c r="BZ578" s="12"/>
      <c r="CA578" s="12"/>
    </row>
    <row r="579" spans="1:79" x14ac:dyDescent="0.3">
      <c r="A579" s="8">
        <v>1</v>
      </c>
      <c r="B579" s="8" t="s">
        <v>961</v>
      </c>
      <c r="C579" s="8">
        <v>2</v>
      </c>
      <c r="D579" s="8">
        <v>631</v>
      </c>
      <c r="E579" s="8" t="s">
        <v>950</v>
      </c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12"/>
      <c r="AW579" s="12"/>
      <c r="AX579" s="12"/>
      <c r="AY579" s="12"/>
      <c r="AZ579" s="12"/>
      <c r="BA579" s="12"/>
      <c r="BB579" s="12"/>
      <c r="BC579" s="12"/>
      <c r="BD579" s="12"/>
      <c r="BE579" s="12"/>
      <c r="BF579" s="12"/>
      <c r="BG579" s="12"/>
      <c r="BH579" s="12"/>
      <c r="BI579" s="12"/>
      <c r="BJ579" s="12"/>
      <c r="BK579" s="12"/>
      <c r="BL579" s="12"/>
      <c r="BM579" s="12"/>
      <c r="BN579" s="12"/>
      <c r="BO579" s="12"/>
      <c r="BP579" s="12"/>
      <c r="BQ579" s="12"/>
      <c r="BR579" s="12"/>
      <c r="BS579" s="12"/>
      <c r="BT579" s="12"/>
      <c r="BU579" s="12"/>
      <c r="BV579" s="12"/>
      <c r="BW579" s="12"/>
      <c r="BX579" s="12"/>
      <c r="BY579" s="12"/>
      <c r="BZ579" s="12"/>
      <c r="CA579" s="12"/>
    </row>
    <row r="580" spans="1:79" x14ac:dyDescent="0.3">
      <c r="A580" s="8">
        <v>1</v>
      </c>
      <c r="B580" s="8" t="s">
        <v>961</v>
      </c>
      <c r="C580" s="8">
        <v>2</v>
      </c>
      <c r="D580" s="8">
        <v>632</v>
      </c>
      <c r="E580" s="8" t="s">
        <v>951</v>
      </c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12"/>
      <c r="AW580" s="12"/>
      <c r="AX580" s="12"/>
      <c r="AY580" s="12"/>
      <c r="AZ580" s="12"/>
      <c r="BA580" s="12"/>
      <c r="BB580" s="12"/>
      <c r="BC580" s="12"/>
      <c r="BD580" s="12"/>
      <c r="BE580" s="12"/>
      <c r="BF580" s="12"/>
      <c r="BG580" s="12"/>
      <c r="BH580" s="12"/>
      <c r="BI580" s="12"/>
      <c r="BJ580" s="12"/>
      <c r="BK580" s="12"/>
      <c r="BL580" s="12"/>
      <c r="BM580" s="12"/>
      <c r="BN580" s="12"/>
      <c r="BO580" s="12"/>
      <c r="BP580" s="12"/>
      <c r="BQ580" s="12"/>
      <c r="BR580" s="12"/>
      <c r="BS580" s="12"/>
      <c r="BT580" s="12"/>
      <c r="BU580" s="12"/>
      <c r="BV580" s="12"/>
      <c r="BW580" s="12"/>
      <c r="BX580" s="12"/>
      <c r="BY580" s="12"/>
      <c r="BZ580" s="12"/>
      <c r="CA580" s="12"/>
    </row>
    <row r="581" spans="1:79" x14ac:dyDescent="0.3">
      <c r="A581" s="8">
        <v>1</v>
      </c>
      <c r="B581" s="8" t="s">
        <v>961</v>
      </c>
      <c r="C581" s="8">
        <v>2</v>
      </c>
      <c r="D581" s="8">
        <v>633</v>
      </c>
      <c r="E581" s="8" t="s">
        <v>950</v>
      </c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12"/>
      <c r="AW581" s="12"/>
      <c r="AX581" s="12"/>
      <c r="AY581" s="12"/>
      <c r="AZ581" s="12"/>
      <c r="BA581" s="12"/>
      <c r="BB581" s="12"/>
      <c r="BC581" s="12"/>
      <c r="BD581" s="12"/>
      <c r="BE581" s="12"/>
      <c r="BF581" s="12"/>
      <c r="BG581" s="12"/>
      <c r="BH581" s="12"/>
      <c r="BI581" s="12"/>
      <c r="BJ581" s="12"/>
      <c r="BK581" s="12"/>
      <c r="BL581" s="12"/>
      <c r="BM581" s="12"/>
      <c r="BN581" s="12"/>
      <c r="BO581" s="12"/>
      <c r="BP581" s="12"/>
      <c r="BQ581" s="12"/>
      <c r="BR581" s="12"/>
      <c r="BS581" s="12"/>
      <c r="BT581" s="12"/>
      <c r="BU581" s="12"/>
      <c r="BV581" s="12"/>
      <c r="BW581" s="12"/>
      <c r="BX581" s="12"/>
      <c r="BY581" s="12"/>
      <c r="BZ581" s="12"/>
      <c r="CA581" s="12"/>
    </row>
    <row r="582" spans="1:79" x14ac:dyDescent="0.3">
      <c r="A582" s="8">
        <v>1</v>
      </c>
      <c r="B582" s="8" t="s">
        <v>961</v>
      </c>
      <c r="C582" s="8">
        <v>2</v>
      </c>
      <c r="D582" s="8">
        <v>634</v>
      </c>
      <c r="E582" s="8" t="s">
        <v>950</v>
      </c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12"/>
      <c r="AW582" s="12"/>
      <c r="AX582" s="12"/>
      <c r="AY582" s="12"/>
      <c r="AZ582" s="12"/>
      <c r="BA582" s="12"/>
      <c r="BB582" s="12"/>
      <c r="BC582" s="12"/>
      <c r="BD582" s="12"/>
      <c r="BE582" s="12"/>
      <c r="BF582" s="12"/>
      <c r="BG582" s="12"/>
      <c r="BH582" s="12"/>
      <c r="BI582" s="12"/>
      <c r="BJ582" s="12"/>
      <c r="BK582" s="12"/>
      <c r="BL582" s="12"/>
      <c r="BM582" s="12"/>
      <c r="BN582" s="12"/>
      <c r="BO582" s="12"/>
      <c r="BP582" s="12"/>
      <c r="BQ582" s="12"/>
      <c r="BR582" s="12"/>
      <c r="BS582" s="12"/>
      <c r="BT582" s="12"/>
      <c r="BU582" s="12"/>
      <c r="BV582" s="12"/>
      <c r="BW582" s="12"/>
      <c r="BX582" s="12"/>
      <c r="BY582" s="12"/>
      <c r="BZ582" s="12"/>
      <c r="CA582" s="12"/>
    </row>
    <row r="583" spans="1:79" x14ac:dyDescent="0.3">
      <c r="A583" s="8">
        <v>1</v>
      </c>
      <c r="B583" s="8" t="s">
        <v>961</v>
      </c>
      <c r="C583" s="8">
        <v>2</v>
      </c>
      <c r="D583" s="8">
        <v>635</v>
      </c>
      <c r="E583" s="8" t="s">
        <v>950</v>
      </c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12"/>
      <c r="AW583" s="12"/>
      <c r="AX583" s="12"/>
      <c r="AY583" s="12"/>
      <c r="AZ583" s="12"/>
      <c r="BA583" s="12"/>
      <c r="BB583" s="12"/>
      <c r="BC583" s="12"/>
      <c r="BD583" s="12"/>
      <c r="BE583" s="12"/>
      <c r="BF583" s="12"/>
      <c r="BG583" s="12"/>
      <c r="BH583" s="12"/>
      <c r="BI583" s="12"/>
      <c r="BJ583" s="12"/>
      <c r="BK583" s="12"/>
      <c r="BL583" s="12"/>
      <c r="BM583" s="12"/>
      <c r="BN583" s="12"/>
      <c r="BO583" s="12"/>
      <c r="BP583" s="12"/>
      <c r="BQ583" s="12"/>
      <c r="BR583" s="12"/>
      <c r="BS583" s="12"/>
      <c r="BT583" s="12"/>
      <c r="BU583" s="12"/>
      <c r="BV583" s="12"/>
      <c r="BW583" s="12"/>
      <c r="BX583" s="12"/>
      <c r="BY583" s="12"/>
      <c r="BZ583" s="12"/>
      <c r="CA583" s="12"/>
    </row>
    <row r="584" spans="1:79" x14ac:dyDescent="0.3">
      <c r="A584" s="8">
        <v>1</v>
      </c>
      <c r="B584" s="8" t="s">
        <v>961</v>
      </c>
      <c r="C584" s="8">
        <v>2</v>
      </c>
      <c r="D584" s="8">
        <v>636</v>
      </c>
      <c r="E584" s="8" t="s">
        <v>950</v>
      </c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12"/>
      <c r="AW584" s="12"/>
      <c r="AX584" s="12"/>
      <c r="AY584" s="12"/>
      <c r="AZ584" s="12"/>
      <c r="BA584" s="12"/>
      <c r="BB584" s="12"/>
      <c r="BC584" s="12"/>
      <c r="BD584" s="12"/>
      <c r="BE584" s="12"/>
      <c r="BF584" s="12"/>
      <c r="BG584" s="12"/>
      <c r="BH584" s="12"/>
      <c r="BI584" s="12"/>
      <c r="BJ584" s="12"/>
      <c r="BK584" s="12"/>
      <c r="BL584" s="12"/>
      <c r="BM584" s="12"/>
      <c r="BN584" s="12"/>
      <c r="BO584" s="12"/>
      <c r="BP584" s="12"/>
      <c r="BQ584" s="12"/>
      <c r="BR584" s="12"/>
      <c r="BS584" s="12"/>
      <c r="BT584" s="12"/>
      <c r="BU584" s="12"/>
      <c r="BV584" s="12"/>
      <c r="BW584" s="12"/>
      <c r="BX584" s="12"/>
      <c r="BY584" s="12"/>
      <c r="BZ584" s="12"/>
      <c r="CA584" s="12"/>
    </row>
    <row r="585" spans="1:79" x14ac:dyDescent="0.3">
      <c r="A585" s="8">
        <v>1</v>
      </c>
      <c r="B585" s="8" t="s">
        <v>961</v>
      </c>
      <c r="C585" s="8">
        <v>2</v>
      </c>
      <c r="D585" s="8">
        <v>637</v>
      </c>
      <c r="E585" s="8" t="s">
        <v>950</v>
      </c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12"/>
      <c r="AW585" s="12"/>
      <c r="AX585" s="12"/>
      <c r="AY585" s="12"/>
      <c r="AZ585" s="12"/>
      <c r="BA585" s="12"/>
      <c r="BB585" s="12"/>
      <c r="BC585" s="12"/>
      <c r="BD585" s="12"/>
      <c r="BE585" s="12"/>
      <c r="BF585" s="12"/>
      <c r="BG585" s="12"/>
      <c r="BH585" s="12"/>
      <c r="BI585" s="12"/>
      <c r="BJ585" s="12"/>
      <c r="BK585" s="12"/>
      <c r="BL585" s="12"/>
      <c r="BM585" s="12"/>
      <c r="BN585" s="12"/>
      <c r="BO585" s="12"/>
      <c r="BP585" s="12"/>
      <c r="BQ585" s="12"/>
      <c r="BR585" s="12"/>
      <c r="BS585" s="12"/>
      <c r="BT585" s="12"/>
      <c r="BU585" s="12"/>
      <c r="BV585" s="12"/>
      <c r="BW585" s="12"/>
      <c r="BX585" s="12"/>
      <c r="BY585" s="12"/>
      <c r="BZ585" s="12"/>
      <c r="CA585" s="12"/>
    </row>
    <row r="586" spans="1:79" x14ac:dyDescent="0.3">
      <c r="A586" s="8">
        <v>1</v>
      </c>
      <c r="B586" s="8" t="s">
        <v>961</v>
      </c>
      <c r="C586" s="8">
        <v>2</v>
      </c>
      <c r="D586" s="8">
        <v>638</v>
      </c>
      <c r="E586" s="8" t="s">
        <v>950</v>
      </c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12"/>
      <c r="AW586" s="12"/>
      <c r="AX586" s="12"/>
      <c r="AY586" s="12"/>
      <c r="AZ586" s="12"/>
      <c r="BA586" s="12"/>
      <c r="BB586" s="12"/>
      <c r="BC586" s="12"/>
      <c r="BD586" s="12"/>
      <c r="BE586" s="12"/>
      <c r="BF586" s="12"/>
      <c r="BG586" s="12"/>
      <c r="BH586" s="12"/>
      <c r="BI586" s="12"/>
      <c r="BJ586" s="12"/>
      <c r="BK586" s="12"/>
      <c r="BL586" s="12"/>
      <c r="BM586" s="12"/>
      <c r="BN586" s="12"/>
      <c r="BO586" s="12"/>
      <c r="BP586" s="12"/>
      <c r="BQ586" s="12"/>
      <c r="BR586" s="12"/>
      <c r="BS586" s="12"/>
      <c r="BT586" s="12"/>
      <c r="BU586" s="12"/>
      <c r="BV586" s="12"/>
      <c r="BW586" s="12"/>
      <c r="BX586" s="12"/>
      <c r="BY586" s="12"/>
      <c r="BZ586" s="12"/>
      <c r="CA586" s="12"/>
    </row>
    <row r="587" spans="1:79" x14ac:dyDescent="0.3">
      <c r="A587" s="8">
        <v>2</v>
      </c>
      <c r="B587" s="8" t="s">
        <v>961</v>
      </c>
      <c r="C587" s="8">
        <v>2</v>
      </c>
      <c r="D587" s="8">
        <v>639</v>
      </c>
      <c r="E587" s="8" t="s">
        <v>951</v>
      </c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12"/>
      <c r="AW587" s="12"/>
      <c r="AX587" s="12"/>
      <c r="AY587" s="12"/>
      <c r="AZ587" s="12"/>
      <c r="BA587" s="12"/>
      <c r="BB587" s="12"/>
      <c r="BC587" s="12"/>
      <c r="BD587" s="12"/>
      <c r="BE587" s="12"/>
      <c r="BF587" s="12"/>
      <c r="BG587" s="12"/>
      <c r="BH587" s="12"/>
      <c r="BI587" s="12"/>
      <c r="BJ587" s="12"/>
      <c r="BK587" s="12"/>
      <c r="BL587" s="12"/>
      <c r="BM587" s="12"/>
      <c r="BN587" s="12"/>
      <c r="BO587" s="12"/>
      <c r="BP587" s="12"/>
      <c r="BQ587" s="12"/>
      <c r="BR587" s="12"/>
      <c r="BS587" s="12"/>
      <c r="BT587" s="12"/>
      <c r="BU587" s="12"/>
      <c r="BV587" s="12"/>
      <c r="BW587" s="12"/>
      <c r="BX587" s="12"/>
      <c r="BY587" s="12"/>
      <c r="BZ587" s="12"/>
      <c r="CA587" s="12"/>
    </row>
    <row r="588" spans="1:79" x14ac:dyDescent="0.3">
      <c r="A588" s="8">
        <v>2</v>
      </c>
      <c r="B588" s="8" t="s">
        <v>961</v>
      </c>
      <c r="C588" s="8">
        <v>2</v>
      </c>
      <c r="D588" s="8">
        <v>640</v>
      </c>
      <c r="E588" s="8" t="s">
        <v>950</v>
      </c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12"/>
      <c r="AW588" s="12"/>
      <c r="AX588" s="12"/>
      <c r="AY588" s="12"/>
      <c r="AZ588" s="12"/>
      <c r="BA588" s="12"/>
      <c r="BB588" s="12"/>
      <c r="BC588" s="12"/>
      <c r="BD588" s="12"/>
      <c r="BE588" s="12"/>
      <c r="BF588" s="12"/>
      <c r="BG588" s="12"/>
      <c r="BH588" s="12"/>
      <c r="BI588" s="12"/>
      <c r="BJ588" s="12"/>
      <c r="BK588" s="12"/>
      <c r="BL588" s="12"/>
      <c r="BM588" s="12"/>
      <c r="BN588" s="12"/>
      <c r="BO588" s="12"/>
      <c r="BP588" s="12"/>
      <c r="BQ588" s="12"/>
      <c r="BR588" s="12"/>
      <c r="BS588" s="12"/>
      <c r="BT588" s="12"/>
      <c r="BU588" s="12"/>
      <c r="BV588" s="12"/>
      <c r="BW588" s="12"/>
      <c r="BX588" s="12"/>
      <c r="BY588" s="12"/>
      <c r="BZ588" s="12"/>
      <c r="CA588" s="12"/>
    </row>
    <row r="589" spans="1:79" x14ac:dyDescent="0.3">
      <c r="A589" s="8">
        <v>2</v>
      </c>
      <c r="B589" s="8" t="s">
        <v>961</v>
      </c>
      <c r="C589" s="8">
        <v>3</v>
      </c>
      <c r="D589" s="8">
        <v>652</v>
      </c>
      <c r="E589" s="8" t="s">
        <v>951</v>
      </c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12"/>
      <c r="AW589" s="12"/>
      <c r="AX589" s="12"/>
      <c r="AY589" s="12"/>
      <c r="AZ589" s="12"/>
      <c r="BA589" s="12"/>
      <c r="BB589" s="12"/>
      <c r="BC589" s="12"/>
      <c r="BD589" s="12"/>
      <c r="BE589" s="12"/>
      <c r="BF589" s="12"/>
      <c r="BG589" s="12"/>
      <c r="BH589" s="12"/>
      <c r="BI589" s="12"/>
      <c r="BJ589" s="12"/>
      <c r="BK589" s="12"/>
      <c r="BL589" s="12"/>
      <c r="BM589" s="12"/>
      <c r="BN589" s="12"/>
      <c r="BO589" s="12"/>
      <c r="BP589" s="12"/>
      <c r="BQ589" s="12"/>
      <c r="BR589" s="12"/>
      <c r="BS589" s="12"/>
      <c r="BT589" s="12"/>
      <c r="BU589" s="12"/>
      <c r="BV589" s="12"/>
      <c r="BW589" s="12"/>
      <c r="BX589" s="12"/>
      <c r="BY589" s="12"/>
      <c r="BZ589" s="12"/>
      <c r="CA589" s="12"/>
    </row>
    <row r="590" spans="1:79" x14ac:dyDescent="0.3">
      <c r="A590" s="8">
        <v>2</v>
      </c>
      <c r="B590" s="8" t="s">
        <v>961</v>
      </c>
      <c r="C590" s="8">
        <v>3</v>
      </c>
      <c r="D590" s="8">
        <v>653</v>
      </c>
      <c r="E590" s="8" t="s">
        <v>951</v>
      </c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12"/>
      <c r="AW590" s="12"/>
      <c r="AX590" s="12"/>
      <c r="AY590" s="12"/>
      <c r="AZ590" s="12"/>
      <c r="BA590" s="12"/>
      <c r="BB590" s="12"/>
      <c r="BC590" s="12"/>
      <c r="BD590" s="12"/>
      <c r="BE590" s="12"/>
      <c r="BF590" s="12"/>
      <c r="BG590" s="12"/>
      <c r="BH590" s="12"/>
      <c r="BI590" s="12"/>
      <c r="BJ590" s="12"/>
      <c r="BK590" s="12"/>
      <c r="BL590" s="12"/>
      <c r="BM590" s="12"/>
      <c r="BN590" s="12"/>
      <c r="BO590" s="12"/>
      <c r="BP590" s="12"/>
      <c r="BQ590" s="12"/>
      <c r="BR590" s="12"/>
      <c r="BS590" s="12"/>
      <c r="BT590" s="12"/>
      <c r="BU590" s="12"/>
      <c r="BV590" s="12"/>
      <c r="BW590" s="12"/>
      <c r="BX590" s="12"/>
      <c r="BY590" s="12"/>
      <c r="BZ590" s="12"/>
      <c r="CA590" s="12"/>
    </row>
    <row r="591" spans="1:79" x14ac:dyDescent="0.3">
      <c r="A591" s="8">
        <v>2</v>
      </c>
      <c r="B591" s="8" t="s">
        <v>961</v>
      </c>
      <c r="C591" s="8">
        <v>3</v>
      </c>
      <c r="D591" s="8">
        <v>654</v>
      </c>
      <c r="E591" s="8" t="s">
        <v>951</v>
      </c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12"/>
      <c r="AW591" s="12"/>
      <c r="AX591" s="12"/>
      <c r="AY591" s="12"/>
      <c r="AZ591" s="12"/>
      <c r="BA591" s="12"/>
      <c r="BB591" s="12"/>
      <c r="BC591" s="12"/>
      <c r="BD591" s="12"/>
      <c r="BE591" s="12"/>
      <c r="BF591" s="12"/>
      <c r="BG591" s="12"/>
      <c r="BH591" s="12"/>
      <c r="BI591" s="12"/>
      <c r="BJ591" s="12"/>
      <c r="BK591" s="12"/>
      <c r="BL591" s="12"/>
      <c r="BM591" s="12"/>
      <c r="BN591" s="12"/>
      <c r="BO591" s="12"/>
      <c r="BP591" s="12"/>
      <c r="BQ591" s="12"/>
      <c r="BR591" s="12"/>
      <c r="BS591" s="12"/>
      <c r="BT591" s="12"/>
      <c r="BU591" s="12"/>
      <c r="BV591" s="12"/>
      <c r="BW591" s="12"/>
      <c r="BX591" s="12"/>
      <c r="BY591" s="12"/>
      <c r="BZ591" s="12"/>
      <c r="CA591" s="12"/>
    </row>
    <row r="592" spans="1:79" x14ac:dyDescent="0.3">
      <c r="A592" s="8">
        <v>2</v>
      </c>
      <c r="B592" s="8" t="s">
        <v>961</v>
      </c>
      <c r="C592" s="8">
        <v>3</v>
      </c>
      <c r="D592" s="8">
        <v>655</v>
      </c>
      <c r="E592" s="8" t="s">
        <v>951</v>
      </c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12"/>
      <c r="AW592" s="12"/>
      <c r="AX592" s="12"/>
      <c r="AY592" s="12"/>
      <c r="AZ592" s="12"/>
      <c r="BA592" s="12"/>
      <c r="BB592" s="12"/>
      <c r="BC592" s="12"/>
      <c r="BD592" s="12"/>
      <c r="BE592" s="12"/>
      <c r="BF592" s="12"/>
      <c r="BG592" s="12"/>
      <c r="BH592" s="12"/>
      <c r="BI592" s="12"/>
      <c r="BJ592" s="12"/>
      <c r="BK592" s="12"/>
      <c r="BL592" s="12"/>
      <c r="BM592" s="12"/>
      <c r="BN592" s="12"/>
      <c r="BO592" s="12"/>
      <c r="BP592" s="12"/>
      <c r="BQ592" s="12"/>
      <c r="BR592" s="12"/>
      <c r="BS592" s="12"/>
      <c r="BT592" s="12"/>
      <c r="BU592" s="12"/>
      <c r="BV592" s="12"/>
      <c r="BW592" s="12"/>
      <c r="BX592" s="12"/>
      <c r="BY592" s="12"/>
      <c r="BZ592" s="12"/>
      <c r="CA592" s="12"/>
    </row>
    <row r="593" spans="1:79" x14ac:dyDescent="0.3">
      <c r="A593" s="8">
        <v>2</v>
      </c>
      <c r="B593" s="8" t="s">
        <v>961</v>
      </c>
      <c r="C593" s="8">
        <v>3</v>
      </c>
      <c r="D593" s="8">
        <v>656</v>
      </c>
      <c r="E593" s="8" t="s">
        <v>951</v>
      </c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12"/>
      <c r="AW593" s="12"/>
      <c r="AX593" s="12"/>
      <c r="AY593" s="12"/>
      <c r="AZ593" s="12"/>
      <c r="BA593" s="12"/>
      <c r="BB593" s="12"/>
      <c r="BC593" s="12"/>
      <c r="BD593" s="12"/>
      <c r="BE593" s="12"/>
      <c r="BF593" s="12"/>
      <c r="BG593" s="12"/>
      <c r="BH593" s="12"/>
      <c r="BI593" s="12"/>
      <c r="BJ593" s="12"/>
      <c r="BK593" s="12"/>
      <c r="BL593" s="12"/>
      <c r="BM593" s="12"/>
      <c r="BN593" s="12"/>
      <c r="BO593" s="12"/>
      <c r="BP593" s="12"/>
      <c r="BQ593" s="12"/>
      <c r="BR593" s="12"/>
      <c r="BS593" s="12"/>
      <c r="BT593" s="12"/>
      <c r="BU593" s="12"/>
      <c r="BV593" s="12"/>
      <c r="BW593" s="12"/>
      <c r="BX593" s="12"/>
      <c r="BY593" s="12"/>
      <c r="BZ593" s="12"/>
      <c r="CA593" s="12"/>
    </row>
    <row r="594" spans="1:79" x14ac:dyDescent="0.3">
      <c r="A594" s="8">
        <v>2</v>
      </c>
      <c r="B594" s="8" t="s">
        <v>961</v>
      </c>
      <c r="C594" s="8">
        <v>3</v>
      </c>
      <c r="D594" s="8">
        <v>657</v>
      </c>
      <c r="E594" s="8" t="s">
        <v>950</v>
      </c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12"/>
      <c r="AW594" s="12"/>
      <c r="AX594" s="12"/>
      <c r="AY594" s="12"/>
      <c r="AZ594" s="12"/>
      <c r="BA594" s="12"/>
      <c r="BB594" s="12"/>
      <c r="BC594" s="12"/>
      <c r="BD594" s="12"/>
      <c r="BE594" s="12"/>
      <c r="BF594" s="12"/>
      <c r="BG594" s="12"/>
      <c r="BH594" s="12"/>
      <c r="BI594" s="12"/>
      <c r="BJ594" s="12"/>
      <c r="BK594" s="12"/>
      <c r="BL594" s="12"/>
      <c r="BM594" s="12"/>
      <c r="BN594" s="12"/>
      <c r="BO594" s="12"/>
      <c r="BP594" s="12"/>
      <c r="BQ594" s="12"/>
      <c r="BR594" s="12"/>
      <c r="BS594" s="12"/>
      <c r="BT594" s="12"/>
      <c r="BU594" s="12"/>
      <c r="BV594" s="12"/>
      <c r="BW594" s="12"/>
      <c r="BX594" s="12"/>
      <c r="BY594" s="12"/>
      <c r="BZ594" s="12"/>
      <c r="CA594" s="12"/>
    </row>
    <row r="595" spans="1:79" x14ac:dyDescent="0.3">
      <c r="A595" s="8">
        <v>2</v>
      </c>
      <c r="B595" s="8" t="s">
        <v>961</v>
      </c>
      <c r="C595" s="8">
        <v>3</v>
      </c>
      <c r="D595" s="8">
        <v>658</v>
      </c>
      <c r="E595" s="8" t="s">
        <v>951</v>
      </c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12"/>
      <c r="AW595" s="12"/>
      <c r="AX595" s="12"/>
      <c r="AY595" s="12"/>
      <c r="AZ595" s="12"/>
      <c r="BA595" s="12"/>
      <c r="BB595" s="12"/>
      <c r="BC595" s="12"/>
      <c r="BD595" s="12"/>
      <c r="BE595" s="12"/>
      <c r="BF595" s="12"/>
      <c r="BG595" s="12"/>
      <c r="BH595" s="12"/>
      <c r="BI595" s="12"/>
      <c r="BJ595" s="12"/>
      <c r="BK595" s="12"/>
      <c r="BL595" s="12"/>
      <c r="BM595" s="12"/>
      <c r="BN595" s="12"/>
      <c r="BO595" s="12"/>
      <c r="BP595" s="12"/>
      <c r="BQ595" s="12"/>
      <c r="BR595" s="12"/>
      <c r="BS595" s="12"/>
      <c r="BT595" s="12"/>
      <c r="BU595" s="12"/>
      <c r="BV595" s="12"/>
      <c r="BW595" s="12"/>
      <c r="BX595" s="12"/>
      <c r="BY595" s="12"/>
      <c r="BZ595" s="12"/>
      <c r="CA595" s="12"/>
    </row>
    <row r="596" spans="1:79" x14ac:dyDescent="0.3">
      <c r="A596" s="8">
        <v>2</v>
      </c>
      <c r="B596" s="8" t="s">
        <v>961</v>
      </c>
      <c r="C596" s="8">
        <v>3</v>
      </c>
      <c r="D596" s="8">
        <v>659</v>
      </c>
      <c r="E596" s="8" t="s">
        <v>950</v>
      </c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12"/>
      <c r="AW596" s="12"/>
      <c r="AX596" s="12"/>
      <c r="AY596" s="12"/>
      <c r="AZ596" s="12"/>
      <c r="BA596" s="12"/>
      <c r="BB596" s="12"/>
      <c r="BC596" s="12"/>
      <c r="BD596" s="12"/>
      <c r="BE596" s="12"/>
      <c r="BF596" s="12"/>
      <c r="BG596" s="12"/>
      <c r="BH596" s="12"/>
      <c r="BI596" s="12"/>
      <c r="BJ596" s="12"/>
      <c r="BK596" s="12"/>
      <c r="BL596" s="12"/>
      <c r="BM596" s="12"/>
      <c r="BN596" s="12"/>
      <c r="BO596" s="12"/>
      <c r="BP596" s="12"/>
      <c r="BQ596" s="12"/>
      <c r="BR596" s="12"/>
      <c r="BS596" s="12"/>
      <c r="BT596" s="12"/>
      <c r="BU596" s="12"/>
      <c r="BV596" s="12"/>
      <c r="BW596" s="12"/>
      <c r="BX596" s="12"/>
      <c r="BY596" s="12"/>
      <c r="BZ596" s="12"/>
      <c r="CA596" s="12"/>
    </row>
    <row r="597" spans="1:79" x14ac:dyDescent="0.3">
      <c r="A597" s="8">
        <v>3</v>
      </c>
      <c r="B597" s="8" t="s">
        <v>961</v>
      </c>
      <c r="C597" s="8">
        <v>3</v>
      </c>
      <c r="D597" s="8">
        <v>660</v>
      </c>
      <c r="E597" s="8" t="s">
        <v>951</v>
      </c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12"/>
      <c r="AW597" s="12"/>
      <c r="AX597" s="12"/>
      <c r="AY597" s="12"/>
      <c r="AZ597" s="12"/>
      <c r="BA597" s="12"/>
      <c r="BB597" s="12"/>
      <c r="BC597" s="12"/>
      <c r="BD597" s="12"/>
      <c r="BE597" s="12"/>
      <c r="BF597" s="12"/>
      <c r="BG597" s="12"/>
      <c r="BH597" s="12"/>
      <c r="BI597" s="12"/>
      <c r="BJ597" s="12"/>
      <c r="BK597" s="12"/>
      <c r="BL597" s="12"/>
      <c r="BM597" s="12"/>
      <c r="BN597" s="12"/>
      <c r="BO597" s="12"/>
      <c r="BP597" s="12"/>
      <c r="BQ597" s="12"/>
      <c r="BR597" s="12"/>
      <c r="BS597" s="12"/>
      <c r="BT597" s="12"/>
      <c r="BU597" s="12"/>
      <c r="BV597" s="12"/>
      <c r="BW597" s="12"/>
      <c r="BX597" s="12"/>
      <c r="BY597" s="12"/>
      <c r="BZ597" s="12"/>
      <c r="CA597" s="12"/>
    </row>
    <row r="598" spans="1:79" x14ac:dyDescent="0.3">
      <c r="A598" s="8">
        <v>3</v>
      </c>
      <c r="B598" s="8" t="s">
        <v>961</v>
      </c>
      <c r="C598" s="8">
        <v>3</v>
      </c>
      <c r="D598" s="8">
        <v>661</v>
      </c>
      <c r="E598" s="8" t="s">
        <v>950</v>
      </c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12"/>
      <c r="AW598" s="12"/>
      <c r="AX598" s="12"/>
      <c r="AY598" s="12"/>
      <c r="AZ598" s="12"/>
      <c r="BA598" s="12"/>
      <c r="BB598" s="12"/>
      <c r="BC598" s="12"/>
      <c r="BD598" s="12"/>
      <c r="BE598" s="12"/>
      <c r="BF598" s="12"/>
      <c r="BG598" s="12"/>
      <c r="BH598" s="12"/>
      <c r="BI598" s="12"/>
      <c r="BJ598" s="12"/>
      <c r="BK598" s="12"/>
      <c r="BL598" s="12"/>
      <c r="BM598" s="12"/>
      <c r="BN598" s="12"/>
      <c r="BO598" s="12"/>
      <c r="BP598" s="12"/>
      <c r="BQ598" s="12"/>
      <c r="BR598" s="12"/>
      <c r="BS598" s="12"/>
      <c r="BT598" s="12"/>
      <c r="BU598" s="12"/>
      <c r="BV598" s="12"/>
      <c r="BW598" s="12"/>
      <c r="BX598" s="12"/>
      <c r="BY598" s="12"/>
      <c r="BZ598" s="12"/>
      <c r="CA598" s="12"/>
    </row>
    <row r="599" spans="1:79" x14ac:dyDescent="0.3">
      <c r="A599" s="8">
        <v>3</v>
      </c>
      <c r="B599" s="8" t="s">
        <v>961</v>
      </c>
      <c r="C599" s="8">
        <v>1</v>
      </c>
      <c r="D599" s="8">
        <v>673</v>
      </c>
      <c r="E599" s="8" t="s">
        <v>951</v>
      </c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12"/>
      <c r="AW599" s="12"/>
      <c r="AX599" s="12"/>
      <c r="AY599" s="12"/>
      <c r="AZ599" s="12"/>
      <c r="BA599" s="12"/>
      <c r="BB599" s="12"/>
      <c r="BC599" s="12"/>
      <c r="BD599" s="12"/>
      <c r="BE599" s="12"/>
      <c r="BF599" s="12"/>
      <c r="BG599" s="12"/>
      <c r="BH599" s="12"/>
      <c r="BI599" s="12"/>
      <c r="BJ599" s="12"/>
      <c r="BK599" s="12"/>
      <c r="BL599" s="12"/>
      <c r="BM599" s="12"/>
      <c r="BN599" s="12"/>
      <c r="BO599" s="12"/>
      <c r="BP599" s="12"/>
      <c r="BQ599" s="12"/>
      <c r="BR599" s="12"/>
      <c r="BS599" s="12"/>
      <c r="BT599" s="12"/>
      <c r="BU599" s="12"/>
      <c r="BV599" s="12"/>
      <c r="BW599" s="12"/>
      <c r="BX599" s="12"/>
      <c r="BY599" s="12"/>
      <c r="BZ599" s="12"/>
      <c r="CA599" s="12"/>
    </row>
    <row r="600" spans="1:79" x14ac:dyDescent="0.3">
      <c r="A600" s="8">
        <v>3</v>
      </c>
      <c r="B600" s="8" t="s">
        <v>961</v>
      </c>
      <c r="C600" s="8">
        <v>1</v>
      </c>
      <c r="D600" s="8">
        <v>674</v>
      </c>
      <c r="E600" s="8" t="s">
        <v>951</v>
      </c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12"/>
      <c r="AW600" s="12"/>
      <c r="AX600" s="12"/>
      <c r="AY600" s="12"/>
      <c r="AZ600" s="12"/>
      <c r="BA600" s="12"/>
      <c r="BB600" s="12"/>
      <c r="BC600" s="12"/>
      <c r="BD600" s="12"/>
      <c r="BE600" s="12"/>
      <c r="BF600" s="12"/>
      <c r="BG600" s="12"/>
      <c r="BH600" s="12"/>
      <c r="BI600" s="12"/>
      <c r="BJ600" s="12"/>
      <c r="BK600" s="12"/>
      <c r="BL600" s="12"/>
      <c r="BM600" s="12"/>
      <c r="BN600" s="12"/>
      <c r="BO600" s="12"/>
      <c r="BP600" s="12"/>
      <c r="BQ600" s="12"/>
      <c r="BR600" s="12"/>
      <c r="BS600" s="12"/>
      <c r="BT600" s="12"/>
      <c r="BU600" s="12"/>
      <c r="BV600" s="12"/>
      <c r="BW600" s="12"/>
      <c r="BX600" s="12"/>
      <c r="BY600" s="12"/>
      <c r="BZ600" s="12"/>
      <c r="CA600" s="12"/>
    </row>
    <row r="601" spans="1:79" x14ac:dyDescent="0.3">
      <c r="A601" s="8">
        <v>3</v>
      </c>
      <c r="B601" s="8" t="s">
        <v>961</v>
      </c>
      <c r="C601" s="8">
        <v>1</v>
      </c>
      <c r="D601" s="8">
        <v>675</v>
      </c>
      <c r="E601" s="8" t="s">
        <v>951</v>
      </c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12"/>
      <c r="AW601" s="12"/>
      <c r="AX601" s="12"/>
      <c r="AY601" s="12"/>
      <c r="AZ601" s="12"/>
      <c r="BA601" s="12"/>
      <c r="BB601" s="12"/>
      <c r="BC601" s="12"/>
      <c r="BD601" s="12"/>
      <c r="BE601" s="12"/>
      <c r="BF601" s="12"/>
      <c r="BG601" s="12"/>
      <c r="BH601" s="12"/>
      <c r="BI601" s="12"/>
      <c r="BJ601" s="12"/>
      <c r="BK601" s="12"/>
      <c r="BL601" s="12"/>
      <c r="BM601" s="12"/>
      <c r="BN601" s="12"/>
      <c r="BO601" s="12"/>
      <c r="BP601" s="12"/>
      <c r="BQ601" s="12"/>
      <c r="BR601" s="12"/>
      <c r="BS601" s="12"/>
      <c r="BT601" s="12"/>
      <c r="BU601" s="12"/>
      <c r="BV601" s="12"/>
      <c r="BW601" s="12"/>
      <c r="BX601" s="12"/>
      <c r="BY601" s="12"/>
      <c r="BZ601" s="12"/>
      <c r="CA601" s="12"/>
    </row>
    <row r="602" spans="1:79" x14ac:dyDescent="0.3">
      <c r="A602" s="8">
        <v>3</v>
      </c>
      <c r="B602" s="8" t="s">
        <v>961</v>
      </c>
      <c r="C602" s="8">
        <v>1</v>
      </c>
      <c r="D602" s="8">
        <v>676</v>
      </c>
      <c r="E602" s="8" t="s">
        <v>950</v>
      </c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12"/>
      <c r="AW602" s="12"/>
      <c r="AX602" s="12"/>
      <c r="AY602" s="12"/>
      <c r="AZ602" s="12"/>
      <c r="BA602" s="12"/>
      <c r="BB602" s="12"/>
      <c r="BC602" s="12"/>
      <c r="BD602" s="12"/>
      <c r="BE602" s="12"/>
      <c r="BF602" s="12"/>
      <c r="BG602" s="12"/>
      <c r="BH602" s="12"/>
      <c r="BI602" s="12"/>
      <c r="BJ602" s="12"/>
      <c r="BK602" s="12"/>
      <c r="BL602" s="12"/>
      <c r="BM602" s="12"/>
      <c r="BN602" s="12"/>
      <c r="BO602" s="12"/>
      <c r="BP602" s="12"/>
      <c r="BQ602" s="12"/>
      <c r="BR602" s="12"/>
      <c r="BS602" s="12"/>
      <c r="BT602" s="12"/>
      <c r="BU602" s="12"/>
      <c r="BV602" s="12"/>
      <c r="BW602" s="12"/>
      <c r="BX602" s="12"/>
      <c r="BY602" s="12"/>
      <c r="BZ602" s="12"/>
      <c r="CA602" s="12"/>
    </row>
    <row r="603" spans="1:79" x14ac:dyDescent="0.3">
      <c r="A603" s="8">
        <v>3</v>
      </c>
      <c r="B603" s="8" t="s">
        <v>961</v>
      </c>
      <c r="C603" s="8">
        <v>1</v>
      </c>
      <c r="D603" s="8">
        <v>677</v>
      </c>
      <c r="E603" s="8" t="s">
        <v>951</v>
      </c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12"/>
      <c r="AW603" s="12"/>
      <c r="AX603" s="12"/>
      <c r="AY603" s="12"/>
      <c r="AZ603" s="12"/>
      <c r="BA603" s="12"/>
      <c r="BB603" s="12"/>
      <c r="BC603" s="12"/>
      <c r="BD603" s="12"/>
      <c r="BE603" s="12"/>
      <c r="BF603" s="12"/>
      <c r="BG603" s="12"/>
      <c r="BH603" s="12"/>
      <c r="BI603" s="12"/>
      <c r="BJ603" s="12"/>
      <c r="BK603" s="12"/>
      <c r="BL603" s="12"/>
      <c r="BM603" s="12"/>
      <c r="BN603" s="12"/>
      <c r="BO603" s="12"/>
      <c r="BP603" s="12"/>
      <c r="BQ603" s="12"/>
      <c r="BR603" s="12"/>
      <c r="BS603" s="12"/>
      <c r="BT603" s="12"/>
      <c r="BU603" s="12"/>
      <c r="BV603" s="12"/>
      <c r="BW603" s="12"/>
      <c r="BX603" s="12"/>
      <c r="BY603" s="12"/>
      <c r="BZ603" s="12"/>
      <c r="CA603" s="12"/>
    </row>
    <row r="604" spans="1:79" x14ac:dyDescent="0.3">
      <c r="A604" s="8">
        <v>3</v>
      </c>
      <c r="B604" s="8" t="s">
        <v>961</v>
      </c>
      <c r="C604" s="8">
        <v>1</v>
      </c>
      <c r="D604" s="8">
        <v>678</v>
      </c>
      <c r="E604" s="8" t="s">
        <v>950</v>
      </c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12"/>
      <c r="AW604" s="12"/>
      <c r="AX604" s="12"/>
      <c r="AY604" s="12"/>
      <c r="AZ604" s="12"/>
      <c r="BA604" s="12"/>
      <c r="BB604" s="12"/>
      <c r="BC604" s="12"/>
      <c r="BD604" s="12"/>
      <c r="BE604" s="12"/>
      <c r="BF604" s="12"/>
      <c r="BG604" s="12"/>
      <c r="BH604" s="12"/>
      <c r="BI604" s="12"/>
      <c r="BJ604" s="12"/>
      <c r="BK604" s="12"/>
      <c r="BL604" s="12"/>
      <c r="BM604" s="12"/>
      <c r="BN604" s="12"/>
      <c r="BO604" s="12"/>
      <c r="BP604" s="12"/>
      <c r="BQ604" s="12"/>
      <c r="BR604" s="12"/>
      <c r="BS604" s="12"/>
      <c r="BT604" s="12"/>
      <c r="BU604" s="12"/>
      <c r="BV604" s="12"/>
      <c r="BW604" s="12"/>
      <c r="BX604" s="12"/>
      <c r="BY604" s="12"/>
      <c r="BZ604" s="12"/>
      <c r="CA604" s="12"/>
    </row>
    <row r="605" spans="1:79" x14ac:dyDescent="0.3">
      <c r="A605" s="8">
        <v>3</v>
      </c>
      <c r="B605" s="8" t="s">
        <v>961</v>
      </c>
      <c r="C605" s="8">
        <v>1</v>
      </c>
      <c r="D605" s="8">
        <v>679</v>
      </c>
      <c r="E605" s="8" t="s">
        <v>950</v>
      </c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12"/>
      <c r="AW605" s="12"/>
      <c r="AX605" s="12"/>
      <c r="AY605" s="12"/>
      <c r="AZ605" s="12"/>
      <c r="BA605" s="12"/>
      <c r="BB605" s="12"/>
      <c r="BC605" s="12"/>
      <c r="BD605" s="12"/>
      <c r="BE605" s="12"/>
      <c r="BF605" s="12"/>
      <c r="BG605" s="12"/>
      <c r="BH605" s="12"/>
      <c r="BI605" s="12"/>
      <c r="BJ605" s="12"/>
      <c r="BK605" s="12"/>
      <c r="BL605" s="12"/>
      <c r="BM605" s="12"/>
      <c r="BN605" s="12"/>
      <c r="BO605" s="12"/>
      <c r="BP605" s="12"/>
      <c r="BQ605" s="12"/>
      <c r="BR605" s="12"/>
      <c r="BS605" s="12"/>
      <c r="BT605" s="12"/>
      <c r="BU605" s="12"/>
      <c r="BV605" s="12"/>
      <c r="BW605" s="12"/>
      <c r="BX605" s="12"/>
      <c r="BY605" s="12"/>
      <c r="BZ605" s="12"/>
      <c r="CA605" s="12"/>
    </row>
    <row r="606" spans="1:79" x14ac:dyDescent="0.3">
      <c r="A606" s="8">
        <v>3</v>
      </c>
      <c r="B606" s="8" t="s">
        <v>961</v>
      </c>
      <c r="C606" s="8">
        <v>1</v>
      </c>
      <c r="D606" s="8">
        <v>680</v>
      </c>
      <c r="E606" s="8" t="s">
        <v>950</v>
      </c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12"/>
      <c r="AW606" s="12"/>
      <c r="AX606" s="12"/>
      <c r="AY606" s="12"/>
      <c r="AZ606" s="12"/>
      <c r="BA606" s="12"/>
      <c r="BB606" s="12"/>
      <c r="BC606" s="12"/>
      <c r="BD606" s="12"/>
      <c r="BE606" s="12"/>
      <c r="BF606" s="12"/>
      <c r="BG606" s="12"/>
      <c r="BH606" s="12"/>
      <c r="BI606" s="12"/>
      <c r="BJ606" s="12"/>
      <c r="BK606" s="12"/>
      <c r="BL606" s="12"/>
      <c r="BM606" s="12"/>
      <c r="BN606" s="12"/>
      <c r="BO606" s="12"/>
      <c r="BP606" s="12"/>
      <c r="BQ606" s="12"/>
      <c r="BR606" s="12"/>
      <c r="BS606" s="12"/>
      <c r="BT606" s="12"/>
      <c r="BU606" s="12"/>
      <c r="BV606" s="12"/>
      <c r="BW606" s="12"/>
      <c r="BX606" s="12"/>
      <c r="BY606" s="12"/>
      <c r="BZ606" s="12"/>
      <c r="CA606" s="12"/>
    </row>
    <row r="607" spans="1:79" x14ac:dyDescent="0.3">
      <c r="A607" s="8">
        <v>1</v>
      </c>
      <c r="B607" s="8" t="s">
        <v>961</v>
      </c>
      <c r="C607" s="8">
        <v>1</v>
      </c>
      <c r="D607" s="8">
        <v>681</v>
      </c>
      <c r="E607" s="8" t="s">
        <v>951</v>
      </c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12"/>
      <c r="AW607" s="12"/>
      <c r="AX607" s="12"/>
      <c r="AY607" s="12"/>
      <c r="AZ607" s="12"/>
      <c r="BA607" s="12"/>
      <c r="BB607" s="12"/>
      <c r="BC607" s="12"/>
      <c r="BD607" s="12"/>
      <c r="BE607" s="12"/>
      <c r="BF607" s="12"/>
      <c r="BG607" s="12"/>
      <c r="BH607" s="12"/>
      <c r="BI607" s="12"/>
      <c r="BJ607" s="12"/>
      <c r="BK607" s="12"/>
      <c r="BL607" s="12"/>
      <c r="BM607" s="12"/>
      <c r="BN607" s="12"/>
      <c r="BO607" s="12"/>
      <c r="BP607" s="12"/>
      <c r="BQ607" s="12"/>
      <c r="BR607" s="12"/>
      <c r="BS607" s="12"/>
      <c r="BT607" s="12"/>
      <c r="BU607" s="12"/>
      <c r="BV607" s="12"/>
      <c r="BW607" s="12"/>
      <c r="BX607" s="12"/>
      <c r="BY607" s="12"/>
      <c r="BZ607" s="12"/>
      <c r="CA607" s="12"/>
    </row>
    <row r="608" spans="1:79" x14ac:dyDescent="0.3">
      <c r="A608" s="8">
        <v>1</v>
      </c>
      <c r="B608" s="8" t="s">
        <v>961</v>
      </c>
      <c r="C608" s="8">
        <v>1</v>
      </c>
      <c r="D608" s="8">
        <v>682</v>
      </c>
      <c r="E608" s="8" t="s">
        <v>950</v>
      </c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12"/>
      <c r="AW608" s="12"/>
      <c r="AX608" s="12"/>
      <c r="AY608" s="12"/>
      <c r="AZ608" s="12"/>
      <c r="BA608" s="12"/>
      <c r="BB608" s="12"/>
      <c r="BC608" s="12"/>
      <c r="BD608" s="12"/>
      <c r="BE608" s="12"/>
      <c r="BF608" s="12"/>
      <c r="BG608" s="12"/>
      <c r="BH608" s="12"/>
      <c r="BI608" s="12"/>
      <c r="BJ608" s="12"/>
      <c r="BK608" s="12"/>
      <c r="BL608" s="12"/>
      <c r="BM608" s="12"/>
      <c r="BN608" s="12"/>
      <c r="BO608" s="12"/>
      <c r="BP608" s="12"/>
      <c r="BQ608" s="12"/>
      <c r="BR608" s="12"/>
      <c r="BS608" s="12"/>
      <c r="BT608" s="12"/>
      <c r="BU608" s="12"/>
      <c r="BV608" s="12"/>
      <c r="BW608" s="12"/>
      <c r="BX608" s="12"/>
      <c r="BY608" s="12"/>
      <c r="BZ608" s="12"/>
      <c r="CA608" s="12"/>
    </row>
    <row r="609" spans="1:79" x14ac:dyDescent="0.3">
      <c r="A609" s="8">
        <v>1</v>
      </c>
      <c r="B609" s="8" t="s">
        <v>962</v>
      </c>
      <c r="C609" s="8">
        <v>5</v>
      </c>
      <c r="D609" s="8">
        <v>694</v>
      </c>
      <c r="E609" s="8" t="s">
        <v>951</v>
      </c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12"/>
      <c r="AW609" s="12"/>
      <c r="AX609" s="12"/>
      <c r="AY609" s="12"/>
      <c r="AZ609" s="12"/>
      <c r="BA609" s="12"/>
      <c r="BB609" s="12"/>
      <c r="BC609" s="12"/>
      <c r="BD609" s="12"/>
      <c r="BE609" s="12"/>
      <c r="BF609" s="12"/>
      <c r="BG609" s="12"/>
      <c r="BH609" s="12"/>
      <c r="BI609" s="12"/>
      <c r="BJ609" s="12"/>
      <c r="BK609" s="12"/>
      <c r="BL609" s="12"/>
      <c r="BM609" s="12"/>
      <c r="BN609" s="12"/>
      <c r="BO609" s="12"/>
      <c r="BP609" s="12"/>
      <c r="BQ609" s="12"/>
      <c r="BR609" s="12"/>
      <c r="BS609" s="12"/>
      <c r="BT609" s="12"/>
      <c r="BU609" s="12"/>
      <c r="BV609" s="12"/>
      <c r="BW609" s="12"/>
      <c r="BX609" s="12"/>
      <c r="BY609" s="12"/>
      <c r="BZ609" s="12"/>
      <c r="CA609" s="12"/>
    </row>
    <row r="610" spans="1:79" x14ac:dyDescent="0.3">
      <c r="A610" s="8">
        <v>1</v>
      </c>
      <c r="B610" s="8" t="s">
        <v>962</v>
      </c>
      <c r="C610" s="8">
        <v>5</v>
      </c>
      <c r="D610" s="8">
        <v>695</v>
      </c>
      <c r="E610" s="8" t="s">
        <v>951</v>
      </c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12"/>
      <c r="AW610" s="12"/>
      <c r="AX610" s="12"/>
      <c r="AY610" s="12"/>
      <c r="AZ610" s="12"/>
      <c r="BA610" s="12"/>
      <c r="BB610" s="12"/>
      <c r="BC610" s="12"/>
      <c r="BD610" s="12"/>
      <c r="BE610" s="12"/>
      <c r="BF610" s="12"/>
      <c r="BG610" s="12"/>
      <c r="BH610" s="12"/>
      <c r="BI610" s="12"/>
      <c r="BJ610" s="12"/>
      <c r="BK610" s="12"/>
      <c r="BL610" s="12"/>
      <c r="BM610" s="12"/>
      <c r="BN610" s="12"/>
      <c r="BO610" s="12"/>
      <c r="BP610" s="12"/>
      <c r="BQ610" s="12"/>
      <c r="BR610" s="12"/>
      <c r="BS610" s="12"/>
      <c r="BT610" s="12"/>
      <c r="BU610" s="12"/>
      <c r="BV610" s="12"/>
      <c r="BW610" s="12"/>
      <c r="BX610" s="12"/>
      <c r="BY610" s="12"/>
      <c r="BZ610" s="12"/>
      <c r="CA610" s="12"/>
    </row>
    <row r="611" spans="1:79" x14ac:dyDescent="0.3">
      <c r="A611" s="8">
        <v>1</v>
      </c>
      <c r="B611" s="8" t="s">
        <v>962</v>
      </c>
      <c r="C611" s="8">
        <v>5</v>
      </c>
      <c r="D611" s="8">
        <v>696</v>
      </c>
      <c r="E611" s="8" t="s">
        <v>951</v>
      </c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12"/>
      <c r="AW611" s="12"/>
      <c r="AX611" s="12"/>
      <c r="AY611" s="12"/>
      <c r="AZ611" s="12"/>
      <c r="BA611" s="12"/>
      <c r="BB611" s="12"/>
      <c r="BC611" s="12"/>
      <c r="BD611" s="12"/>
      <c r="BE611" s="12"/>
      <c r="BF611" s="12"/>
      <c r="BG611" s="12"/>
      <c r="BH611" s="12"/>
      <c r="BI611" s="12"/>
      <c r="BJ611" s="12"/>
      <c r="BK611" s="12"/>
      <c r="BL611" s="12"/>
      <c r="BM611" s="12"/>
      <c r="BN611" s="12"/>
      <c r="BO611" s="12"/>
      <c r="BP611" s="12"/>
      <c r="BQ611" s="12"/>
      <c r="BR611" s="12"/>
      <c r="BS611" s="12"/>
      <c r="BT611" s="12"/>
      <c r="BU611" s="12"/>
      <c r="BV611" s="12"/>
      <c r="BW611" s="12"/>
      <c r="BX611" s="12"/>
      <c r="BY611" s="12"/>
      <c r="BZ611" s="12"/>
      <c r="CA611" s="12"/>
    </row>
    <row r="612" spans="1:79" x14ac:dyDescent="0.3">
      <c r="A612" s="8">
        <v>1</v>
      </c>
      <c r="B612" s="8" t="s">
        <v>962</v>
      </c>
      <c r="C612" s="8">
        <v>5</v>
      </c>
      <c r="D612" s="8">
        <v>697</v>
      </c>
      <c r="E612" s="8" t="s">
        <v>951</v>
      </c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12"/>
      <c r="AW612" s="12"/>
      <c r="AX612" s="12"/>
      <c r="AY612" s="12"/>
      <c r="AZ612" s="12"/>
      <c r="BA612" s="12"/>
      <c r="BB612" s="12"/>
      <c r="BC612" s="12"/>
      <c r="BD612" s="12"/>
      <c r="BE612" s="12"/>
      <c r="BF612" s="12"/>
      <c r="BG612" s="12"/>
      <c r="BH612" s="12"/>
      <c r="BI612" s="12"/>
      <c r="BJ612" s="12"/>
      <c r="BK612" s="12"/>
      <c r="BL612" s="12"/>
      <c r="BM612" s="12"/>
      <c r="BN612" s="12"/>
      <c r="BO612" s="12"/>
      <c r="BP612" s="12"/>
      <c r="BQ612" s="12"/>
      <c r="BR612" s="12"/>
      <c r="BS612" s="12"/>
      <c r="BT612" s="12"/>
      <c r="BU612" s="12"/>
      <c r="BV612" s="12"/>
      <c r="BW612" s="12"/>
      <c r="BX612" s="12"/>
      <c r="BY612" s="12"/>
      <c r="BZ612" s="12"/>
      <c r="CA612" s="12"/>
    </row>
    <row r="613" spans="1:79" x14ac:dyDescent="0.3">
      <c r="A613" s="8">
        <v>1</v>
      </c>
      <c r="B613" s="8" t="s">
        <v>962</v>
      </c>
      <c r="C613" s="8">
        <v>5</v>
      </c>
      <c r="D613" s="8">
        <v>698</v>
      </c>
      <c r="E613" s="8" t="s">
        <v>951</v>
      </c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12"/>
      <c r="AW613" s="12"/>
      <c r="AX613" s="12"/>
      <c r="AY613" s="12"/>
      <c r="AZ613" s="12"/>
      <c r="BA613" s="12"/>
      <c r="BB613" s="12"/>
      <c r="BC613" s="12"/>
      <c r="BD613" s="12"/>
      <c r="BE613" s="12"/>
      <c r="BF613" s="12"/>
      <c r="BG613" s="12"/>
      <c r="BH613" s="12"/>
      <c r="BI613" s="12"/>
      <c r="BJ613" s="12"/>
      <c r="BK613" s="12"/>
      <c r="BL613" s="12"/>
      <c r="BM613" s="12"/>
      <c r="BN613" s="12"/>
      <c r="BO613" s="12"/>
      <c r="BP613" s="12"/>
      <c r="BQ613" s="12"/>
      <c r="BR613" s="12"/>
      <c r="BS613" s="12"/>
      <c r="BT613" s="12"/>
      <c r="BU613" s="12"/>
      <c r="BV613" s="12"/>
      <c r="BW613" s="12"/>
      <c r="BX613" s="12"/>
      <c r="BY613" s="12"/>
      <c r="BZ613" s="12"/>
      <c r="CA613" s="12"/>
    </row>
    <row r="614" spans="1:79" x14ac:dyDescent="0.3">
      <c r="A614" s="8">
        <v>1</v>
      </c>
      <c r="B614" s="8" t="s">
        <v>962</v>
      </c>
      <c r="C614" s="8">
        <v>5</v>
      </c>
      <c r="D614" s="8">
        <v>699</v>
      </c>
      <c r="E614" s="8" t="s">
        <v>951</v>
      </c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12"/>
      <c r="AW614" s="12"/>
      <c r="AX614" s="12"/>
      <c r="AY614" s="12"/>
      <c r="AZ614" s="12"/>
      <c r="BA614" s="12"/>
      <c r="BB614" s="12"/>
      <c r="BC614" s="12"/>
      <c r="BD614" s="12"/>
      <c r="BE614" s="12"/>
      <c r="BF614" s="12"/>
      <c r="BG614" s="12"/>
      <c r="BH614" s="12"/>
      <c r="BI614" s="12"/>
      <c r="BJ614" s="12"/>
      <c r="BK614" s="12"/>
      <c r="BL614" s="12"/>
      <c r="BM614" s="12"/>
      <c r="BN614" s="12"/>
      <c r="BO614" s="12"/>
      <c r="BP614" s="12"/>
      <c r="BQ614" s="12"/>
      <c r="BR614" s="12"/>
      <c r="BS614" s="12"/>
      <c r="BT614" s="12"/>
      <c r="BU614" s="12"/>
      <c r="BV614" s="12"/>
      <c r="BW614" s="12"/>
      <c r="BX614" s="12"/>
      <c r="BY614" s="12"/>
      <c r="BZ614" s="12"/>
      <c r="CA614" s="12"/>
    </row>
    <row r="615" spans="1:79" x14ac:dyDescent="0.3">
      <c r="A615" s="8">
        <v>1</v>
      </c>
      <c r="B615" s="8" t="s">
        <v>962</v>
      </c>
      <c r="C615" s="8">
        <v>5</v>
      </c>
      <c r="D615" s="8">
        <v>700</v>
      </c>
      <c r="E615" s="8" t="s">
        <v>951</v>
      </c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12"/>
      <c r="AW615" s="12"/>
      <c r="AX615" s="12"/>
      <c r="AY615" s="12"/>
      <c r="AZ615" s="12"/>
      <c r="BA615" s="12"/>
      <c r="BB615" s="12"/>
      <c r="BC615" s="12"/>
      <c r="BD615" s="12"/>
      <c r="BE615" s="12"/>
      <c r="BF615" s="12"/>
      <c r="BG615" s="12"/>
      <c r="BH615" s="12"/>
      <c r="BI615" s="12"/>
      <c r="BJ615" s="12"/>
      <c r="BK615" s="12"/>
      <c r="BL615" s="12"/>
      <c r="BM615" s="12"/>
      <c r="BN615" s="12"/>
      <c r="BO615" s="12"/>
      <c r="BP615" s="12"/>
      <c r="BQ615" s="12"/>
      <c r="BR615" s="12"/>
      <c r="BS615" s="12"/>
      <c r="BT615" s="12"/>
      <c r="BU615" s="12"/>
      <c r="BV615" s="12"/>
      <c r="BW615" s="12"/>
      <c r="BX615" s="12"/>
      <c r="BY615" s="12"/>
      <c r="BZ615" s="12"/>
      <c r="CA615" s="12"/>
    </row>
    <row r="616" spans="1:79" x14ac:dyDescent="0.3">
      <c r="A616" s="8">
        <v>1</v>
      </c>
      <c r="B616" s="8" t="s">
        <v>962</v>
      </c>
      <c r="C616" s="8">
        <v>5</v>
      </c>
      <c r="D616" s="8">
        <v>701</v>
      </c>
      <c r="E616" s="8" t="s">
        <v>950</v>
      </c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12"/>
      <c r="AW616" s="12"/>
      <c r="AX616" s="12"/>
      <c r="AY616" s="12"/>
      <c r="AZ616" s="12"/>
      <c r="BA616" s="12"/>
      <c r="BB616" s="12"/>
      <c r="BC616" s="12"/>
      <c r="BD616" s="12"/>
      <c r="BE616" s="12"/>
      <c r="BF616" s="12"/>
      <c r="BG616" s="12"/>
      <c r="BH616" s="12"/>
      <c r="BI616" s="12"/>
      <c r="BJ616" s="12"/>
      <c r="BK616" s="12"/>
      <c r="BL616" s="12"/>
      <c r="BM616" s="12"/>
      <c r="BN616" s="12"/>
      <c r="BO616" s="12"/>
      <c r="BP616" s="12"/>
      <c r="BQ616" s="12"/>
      <c r="BR616" s="12"/>
      <c r="BS616" s="12"/>
      <c r="BT616" s="12"/>
      <c r="BU616" s="12"/>
      <c r="BV616" s="12"/>
      <c r="BW616" s="12"/>
      <c r="BX616" s="12"/>
      <c r="BY616" s="12"/>
      <c r="BZ616" s="12"/>
      <c r="CA616" s="12"/>
    </row>
    <row r="617" spans="1:79" x14ac:dyDescent="0.3">
      <c r="A617" s="8">
        <v>2</v>
      </c>
      <c r="B617" s="8" t="s">
        <v>962</v>
      </c>
      <c r="C617" s="8">
        <v>5</v>
      </c>
      <c r="D617" s="8">
        <v>702</v>
      </c>
      <c r="E617" s="8" t="s">
        <v>951</v>
      </c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12"/>
      <c r="AW617" s="12"/>
      <c r="AX617" s="12"/>
      <c r="AY617" s="12"/>
      <c r="AZ617" s="12"/>
      <c r="BA617" s="12"/>
      <c r="BB617" s="12"/>
      <c r="BC617" s="12"/>
      <c r="BD617" s="12"/>
      <c r="BE617" s="12"/>
      <c r="BF617" s="12"/>
      <c r="BG617" s="12"/>
      <c r="BH617" s="12"/>
      <c r="BI617" s="12"/>
      <c r="BJ617" s="12"/>
      <c r="BK617" s="12"/>
      <c r="BL617" s="12"/>
      <c r="BM617" s="12"/>
      <c r="BN617" s="12"/>
      <c r="BO617" s="12"/>
      <c r="BP617" s="12"/>
      <c r="BQ617" s="12"/>
      <c r="BR617" s="12"/>
      <c r="BS617" s="12"/>
      <c r="BT617" s="12"/>
      <c r="BU617" s="12"/>
      <c r="BV617" s="12"/>
      <c r="BW617" s="12"/>
      <c r="BX617" s="12"/>
      <c r="BY617" s="12"/>
      <c r="BZ617" s="12"/>
      <c r="CA617" s="12"/>
    </row>
    <row r="618" spans="1:79" x14ac:dyDescent="0.3">
      <c r="A618" s="8">
        <v>2</v>
      </c>
      <c r="B618" s="8" t="s">
        <v>962</v>
      </c>
      <c r="C618" s="8">
        <v>5</v>
      </c>
      <c r="D618" s="8">
        <v>703</v>
      </c>
      <c r="E618" s="8" t="s">
        <v>950</v>
      </c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12"/>
      <c r="AW618" s="12"/>
      <c r="AX618" s="12"/>
      <c r="AY618" s="12"/>
      <c r="AZ618" s="12"/>
      <c r="BA618" s="12"/>
      <c r="BB618" s="12"/>
      <c r="BC618" s="12"/>
      <c r="BD618" s="12"/>
      <c r="BE618" s="12"/>
      <c r="BF618" s="12"/>
      <c r="BG618" s="12"/>
      <c r="BH618" s="12"/>
      <c r="BI618" s="12"/>
      <c r="BJ618" s="12"/>
      <c r="BK618" s="12"/>
      <c r="BL618" s="12"/>
      <c r="BM618" s="12"/>
      <c r="BN618" s="12"/>
      <c r="BO618" s="12"/>
      <c r="BP618" s="12"/>
      <c r="BQ618" s="12"/>
      <c r="BR618" s="12"/>
      <c r="BS618" s="12"/>
      <c r="BT618" s="12"/>
      <c r="BU618" s="12"/>
      <c r="BV618" s="12"/>
      <c r="BW618" s="12"/>
      <c r="BX618" s="12"/>
      <c r="BY618" s="12"/>
      <c r="BZ618" s="12"/>
      <c r="CA618" s="12"/>
    </row>
    <row r="619" spans="1:79" x14ac:dyDescent="0.3">
      <c r="A619" s="8">
        <v>2</v>
      </c>
      <c r="B619" s="8" t="s">
        <v>962</v>
      </c>
      <c r="C619" s="8">
        <v>0</v>
      </c>
      <c r="D619" s="8">
        <v>715</v>
      </c>
      <c r="E619" s="8" t="s">
        <v>950</v>
      </c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12"/>
      <c r="AW619" s="12"/>
      <c r="AX619" s="12"/>
      <c r="AY619" s="12"/>
      <c r="AZ619" s="12"/>
      <c r="BA619" s="12"/>
      <c r="BB619" s="12"/>
      <c r="BC619" s="12"/>
      <c r="BD619" s="12"/>
      <c r="BE619" s="12"/>
      <c r="BF619" s="12"/>
      <c r="BG619" s="12"/>
      <c r="BH619" s="12"/>
      <c r="BI619" s="12"/>
      <c r="BJ619" s="12"/>
      <c r="BK619" s="12"/>
      <c r="BL619" s="12"/>
      <c r="BM619" s="12"/>
      <c r="BN619" s="12"/>
      <c r="BO619" s="12"/>
      <c r="BP619" s="12"/>
      <c r="BQ619" s="12"/>
      <c r="BR619" s="12"/>
      <c r="BS619" s="12"/>
      <c r="BT619" s="12"/>
      <c r="BU619" s="12"/>
      <c r="BV619" s="12"/>
      <c r="BW619" s="12"/>
      <c r="BX619" s="12"/>
      <c r="BY619" s="12"/>
      <c r="BZ619" s="12"/>
      <c r="CA619" s="12"/>
    </row>
    <row r="620" spans="1:79" x14ac:dyDescent="0.3">
      <c r="A620" s="8">
        <v>2</v>
      </c>
      <c r="B620" s="8" t="s">
        <v>962</v>
      </c>
      <c r="C620" s="8">
        <v>0</v>
      </c>
      <c r="D620" s="8">
        <v>716</v>
      </c>
      <c r="E620" s="8" t="s">
        <v>950</v>
      </c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12"/>
      <c r="AW620" s="12"/>
      <c r="AX620" s="12"/>
      <c r="AY620" s="12"/>
      <c r="AZ620" s="12"/>
      <c r="BA620" s="12"/>
      <c r="BB620" s="12"/>
      <c r="BC620" s="12"/>
      <c r="BD620" s="12"/>
      <c r="BE620" s="12"/>
      <c r="BF620" s="12"/>
      <c r="BG620" s="12"/>
      <c r="BH620" s="12"/>
      <c r="BI620" s="12"/>
      <c r="BJ620" s="12"/>
      <c r="BK620" s="12"/>
      <c r="BL620" s="12"/>
      <c r="BM620" s="12"/>
      <c r="BN620" s="12"/>
      <c r="BO620" s="12"/>
      <c r="BP620" s="12"/>
      <c r="BQ620" s="12"/>
      <c r="BR620" s="12"/>
      <c r="BS620" s="12"/>
      <c r="BT620" s="12"/>
      <c r="BU620" s="12"/>
      <c r="BV620" s="12"/>
      <c r="BW620" s="12"/>
      <c r="BX620" s="12"/>
      <c r="BY620" s="12"/>
      <c r="BZ620" s="12"/>
      <c r="CA620" s="12"/>
    </row>
    <row r="621" spans="1:79" x14ac:dyDescent="0.3">
      <c r="A621" s="8">
        <v>2</v>
      </c>
      <c r="B621" s="8" t="s">
        <v>962</v>
      </c>
      <c r="C621" s="8">
        <v>0</v>
      </c>
      <c r="D621" s="8">
        <v>717</v>
      </c>
      <c r="E621" s="8" t="s">
        <v>951</v>
      </c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12"/>
      <c r="AW621" s="12"/>
      <c r="AX621" s="12"/>
      <c r="AY621" s="12"/>
      <c r="AZ621" s="12"/>
      <c r="BA621" s="12"/>
      <c r="BB621" s="12"/>
      <c r="BC621" s="12"/>
      <c r="BD621" s="12"/>
      <c r="BE621" s="12"/>
      <c r="BF621" s="12"/>
      <c r="BG621" s="12"/>
      <c r="BH621" s="12"/>
      <c r="BI621" s="12"/>
      <c r="BJ621" s="12"/>
      <c r="BK621" s="12"/>
      <c r="BL621" s="12"/>
      <c r="BM621" s="12"/>
      <c r="BN621" s="12"/>
      <c r="BO621" s="12"/>
      <c r="BP621" s="12"/>
      <c r="BQ621" s="12"/>
      <c r="BR621" s="12"/>
      <c r="BS621" s="12"/>
      <c r="BT621" s="12"/>
      <c r="BU621" s="12"/>
      <c r="BV621" s="12"/>
      <c r="BW621" s="12"/>
      <c r="BX621" s="12"/>
      <c r="BY621" s="12"/>
      <c r="BZ621" s="12"/>
      <c r="CA621" s="12"/>
    </row>
    <row r="622" spans="1:79" x14ac:dyDescent="0.3">
      <c r="A622" s="8">
        <v>2</v>
      </c>
      <c r="B622" s="8" t="s">
        <v>962</v>
      </c>
      <c r="C622" s="8">
        <v>0</v>
      </c>
      <c r="D622" s="8">
        <v>718</v>
      </c>
      <c r="E622" s="8" t="s">
        <v>950</v>
      </c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2"/>
      <c r="BB622" s="12"/>
      <c r="BC622" s="1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2"/>
      <c r="BS622" s="12"/>
      <c r="BT622" s="12"/>
      <c r="BU622" s="12"/>
      <c r="BV622" s="12"/>
      <c r="BW622" s="12"/>
      <c r="BX622" s="12"/>
      <c r="BY622" s="12"/>
      <c r="BZ622" s="12"/>
      <c r="CA622" s="12"/>
    </row>
    <row r="623" spans="1:79" x14ac:dyDescent="0.3">
      <c r="A623" s="8">
        <v>2</v>
      </c>
      <c r="B623" s="8" t="s">
        <v>962</v>
      </c>
      <c r="C623" s="8">
        <v>0</v>
      </c>
      <c r="D623" s="8">
        <v>719</v>
      </c>
      <c r="E623" s="8" t="s">
        <v>950</v>
      </c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12"/>
      <c r="AW623" s="12"/>
      <c r="AX623" s="12"/>
      <c r="AY623" s="12"/>
      <c r="AZ623" s="12"/>
      <c r="BA623" s="12"/>
      <c r="BB623" s="12"/>
      <c r="BC623" s="12"/>
      <c r="BD623" s="12"/>
      <c r="BE623" s="12"/>
      <c r="BF623" s="12"/>
      <c r="BG623" s="12"/>
      <c r="BH623" s="12"/>
      <c r="BI623" s="12"/>
      <c r="BJ623" s="12"/>
      <c r="BK623" s="12"/>
      <c r="BL623" s="12"/>
      <c r="BM623" s="12"/>
      <c r="BN623" s="12"/>
      <c r="BO623" s="12"/>
      <c r="BP623" s="12"/>
      <c r="BQ623" s="12"/>
      <c r="BR623" s="12"/>
      <c r="BS623" s="12"/>
      <c r="BT623" s="12"/>
      <c r="BU623" s="12"/>
      <c r="BV623" s="12"/>
      <c r="BW623" s="12"/>
      <c r="BX623" s="12"/>
      <c r="BY623" s="12"/>
      <c r="BZ623" s="12"/>
      <c r="CA623" s="12"/>
    </row>
    <row r="624" spans="1:79" x14ac:dyDescent="0.3">
      <c r="A624" s="8">
        <v>2</v>
      </c>
      <c r="B624" s="8" t="s">
        <v>962</v>
      </c>
      <c r="C624" s="8">
        <v>0</v>
      </c>
      <c r="D624" s="8">
        <v>720</v>
      </c>
      <c r="E624" s="8" t="s">
        <v>951</v>
      </c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12"/>
      <c r="AW624" s="12"/>
      <c r="AX624" s="12"/>
      <c r="AY624" s="12"/>
      <c r="AZ624" s="12"/>
      <c r="BA624" s="12"/>
      <c r="BB624" s="12"/>
      <c r="BC624" s="12"/>
      <c r="BD624" s="12"/>
      <c r="BE624" s="12"/>
      <c r="BF624" s="12"/>
      <c r="BG624" s="12"/>
      <c r="BH624" s="12"/>
      <c r="BI624" s="12"/>
      <c r="BJ624" s="12"/>
      <c r="BK624" s="12"/>
      <c r="BL624" s="12"/>
      <c r="BM624" s="12"/>
      <c r="BN624" s="12"/>
      <c r="BO624" s="12"/>
      <c r="BP624" s="12"/>
      <c r="BQ624" s="12"/>
      <c r="BR624" s="12"/>
      <c r="BS624" s="12"/>
      <c r="BT624" s="12"/>
      <c r="BU624" s="12"/>
      <c r="BV624" s="12"/>
      <c r="BW624" s="12"/>
      <c r="BX624" s="12"/>
      <c r="BY624" s="12"/>
      <c r="BZ624" s="12"/>
      <c r="CA624" s="12"/>
    </row>
    <row r="625" spans="1:79" x14ac:dyDescent="0.3">
      <c r="A625" s="8">
        <v>2</v>
      </c>
      <c r="B625" s="8" t="s">
        <v>962</v>
      </c>
      <c r="C625" s="8">
        <v>0</v>
      </c>
      <c r="D625" s="8">
        <v>721</v>
      </c>
      <c r="E625" s="8" t="s">
        <v>950</v>
      </c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12"/>
      <c r="AW625" s="12"/>
      <c r="AX625" s="12"/>
      <c r="AY625" s="12"/>
      <c r="AZ625" s="12"/>
      <c r="BA625" s="12"/>
      <c r="BB625" s="12"/>
      <c r="BC625" s="12"/>
      <c r="BD625" s="12"/>
      <c r="BE625" s="12"/>
      <c r="BF625" s="12"/>
      <c r="BG625" s="12"/>
      <c r="BH625" s="12"/>
      <c r="BI625" s="12"/>
      <c r="BJ625" s="12"/>
      <c r="BK625" s="12"/>
      <c r="BL625" s="12"/>
      <c r="BM625" s="12"/>
      <c r="BN625" s="12"/>
      <c r="BO625" s="12"/>
      <c r="BP625" s="12"/>
      <c r="BQ625" s="12"/>
      <c r="BR625" s="12"/>
      <c r="BS625" s="12"/>
      <c r="BT625" s="12"/>
      <c r="BU625" s="12"/>
      <c r="BV625" s="12"/>
      <c r="BW625" s="12"/>
      <c r="BX625" s="12"/>
      <c r="BY625" s="12"/>
      <c r="BZ625" s="12"/>
      <c r="CA625" s="12"/>
    </row>
    <row r="626" spans="1:79" x14ac:dyDescent="0.3">
      <c r="A626" s="8">
        <v>2</v>
      </c>
      <c r="B626" s="8" t="s">
        <v>962</v>
      </c>
      <c r="C626" s="8">
        <v>0</v>
      </c>
      <c r="D626" s="8">
        <v>722</v>
      </c>
      <c r="E626" s="8" t="s">
        <v>950</v>
      </c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12"/>
      <c r="AW626" s="12"/>
      <c r="AX626" s="12"/>
      <c r="AY626" s="12"/>
      <c r="AZ626" s="12"/>
      <c r="BA626" s="12"/>
      <c r="BB626" s="12"/>
      <c r="BC626" s="12"/>
      <c r="BD626" s="12"/>
      <c r="BE626" s="12"/>
      <c r="BF626" s="12"/>
      <c r="BG626" s="12"/>
      <c r="BH626" s="12"/>
      <c r="BI626" s="12"/>
      <c r="BJ626" s="12"/>
      <c r="BK626" s="12"/>
      <c r="BL626" s="12"/>
      <c r="BM626" s="12"/>
      <c r="BN626" s="12"/>
      <c r="BO626" s="12"/>
      <c r="BP626" s="12"/>
      <c r="BQ626" s="12"/>
      <c r="BR626" s="12"/>
      <c r="BS626" s="12"/>
      <c r="BT626" s="12"/>
      <c r="BU626" s="12"/>
      <c r="BV626" s="12"/>
      <c r="BW626" s="12"/>
      <c r="BX626" s="12"/>
      <c r="BY626" s="12"/>
      <c r="BZ626" s="12"/>
      <c r="CA626" s="12"/>
    </row>
    <row r="627" spans="1:79" x14ac:dyDescent="0.3">
      <c r="A627" s="8">
        <v>3</v>
      </c>
      <c r="B627" s="8" t="s">
        <v>962</v>
      </c>
      <c r="C627" s="8">
        <v>0</v>
      </c>
      <c r="D627" s="8">
        <v>723</v>
      </c>
      <c r="E627" s="8" t="s">
        <v>950</v>
      </c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12"/>
      <c r="AW627" s="12"/>
      <c r="AX627" s="12"/>
      <c r="AY627" s="12"/>
      <c r="AZ627" s="12"/>
      <c r="BA627" s="12"/>
      <c r="BB627" s="12"/>
      <c r="BC627" s="12"/>
      <c r="BD627" s="12"/>
      <c r="BE627" s="12"/>
      <c r="BF627" s="12"/>
      <c r="BG627" s="12"/>
      <c r="BH627" s="12"/>
      <c r="BI627" s="12"/>
      <c r="BJ627" s="12"/>
      <c r="BK627" s="12"/>
      <c r="BL627" s="12"/>
      <c r="BM627" s="12"/>
      <c r="BN627" s="12"/>
      <c r="BO627" s="12"/>
      <c r="BP627" s="12"/>
      <c r="BQ627" s="12"/>
      <c r="BR627" s="12"/>
      <c r="BS627" s="12"/>
      <c r="BT627" s="12"/>
      <c r="BU627" s="12"/>
      <c r="BV627" s="12"/>
      <c r="BW627" s="12"/>
      <c r="BX627" s="12"/>
      <c r="BY627" s="12"/>
      <c r="BZ627" s="12"/>
      <c r="CA627" s="12"/>
    </row>
    <row r="628" spans="1:79" x14ac:dyDescent="0.3">
      <c r="A628" s="8">
        <v>3</v>
      </c>
      <c r="B628" s="8" t="s">
        <v>962</v>
      </c>
      <c r="C628" s="8">
        <v>0</v>
      </c>
      <c r="D628" s="8">
        <v>724</v>
      </c>
      <c r="E628" s="8" t="s">
        <v>950</v>
      </c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12"/>
      <c r="AW628" s="12"/>
      <c r="AX628" s="12"/>
      <c r="AY628" s="12"/>
      <c r="AZ628" s="12"/>
      <c r="BA628" s="12"/>
      <c r="BB628" s="12"/>
      <c r="BC628" s="12"/>
      <c r="BD628" s="12"/>
      <c r="BE628" s="12"/>
      <c r="BF628" s="12"/>
      <c r="BG628" s="12"/>
      <c r="BH628" s="12"/>
      <c r="BI628" s="12"/>
      <c r="BJ628" s="12"/>
      <c r="BK628" s="12"/>
      <c r="BL628" s="12"/>
      <c r="BM628" s="12"/>
      <c r="BN628" s="12"/>
      <c r="BO628" s="12"/>
      <c r="BP628" s="12"/>
      <c r="BQ628" s="12"/>
      <c r="BR628" s="12"/>
      <c r="BS628" s="12"/>
      <c r="BT628" s="12"/>
      <c r="BU628" s="12"/>
      <c r="BV628" s="12"/>
      <c r="BW628" s="12"/>
      <c r="BX628" s="12"/>
      <c r="BY628" s="12"/>
      <c r="BZ628" s="12"/>
      <c r="CA628" s="12"/>
    </row>
    <row r="629" spans="1:79" x14ac:dyDescent="0.3">
      <c r="A629" s="8">
        <v>3</v>
      </c>
      <c r="B629" s="8" t="s">
        <v>962</v>
      </c>
      <c r="C629" s="8">
        <v>4</v>
      </c>
      <c r="D629" s="8">
        <v>736</v>
      </c>
      <c r="E629" s="8" t="s">
        <v>950</v>
      </c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12"/>
      <c r="AW629" s="12"/>
      <c r="AX629" s="12"/>
      <c r="AY629" s="12"/>
      <c r="AZ629" s="12"/>
      <c r="BA629" s="12"/>
      <c r="BB629" s="12"/>
      <c r="BC629" s="12"/>
      <c r="BD629" s="12"/>
      <c r="BE629" s="12"/>
      <c r="BF629" s="12"/>
      <c r="BG629" s="12"/>
      <c r="BH629" s="12"/>
      <c r="BI629" s="12"/>
      <c r="BJ629" s="12"/>
      <c r="BK629" s="12"/>
      <c r="BL629" s="12"/>
      <c r="BM629" s="12"/>
      <c r="BN629" s="12"/>
      <c r="BO629" s="12"/>
      <c r="BP629" s="12"/>
      <c r="BQ629" s="12"/>
      <c r="BR629" s="12"/>
      <c r="BS629" s="12"/>
      <c r="BT629" s="12"/>
      <c r="BU629" s="12"/>
      <c r="BV629" s="12"/>
      <c r="BW629" s="12"/>
      <c r="BX629" s="12"/>
      <c r="BY629" s="12"/>
      <c r="BZ629" s="12"/>
      <c r="CA629" s="12"/>
    </row>
    <row r="630" spans="1:79" x14ac:dyDescent="0.3">
      <c r="A630" s="8">
        <v>3</v>
      </c>
      <c r="B630" s="8" t="s">
        <v>962</v>
      </c>
      <c r="C630" s="8">
        <v>4</v>
      </c>
      <c r="D630" s="8">
        <v>737</v>
      </c>
      <c r="E630" s="8" t="s">
        <v>950</v>
      </c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12"/>
      <c r="AW630" s="12"/>
      <c r="AX630" s="12"/>
      <c r="AY630" s="12"/>
      <c r="AZ630" s="12"/>
      <c r="BA630" s="12"/>
      <c r="BB630" s="12"/>
      <c r="BC630" s="12"/>
      <c r="BD630" s="12"/>
      <c r="BE630" s="12"/>
      <c r="BF630" s="12"/>
      <c r="BG630" s="12"/>
      <c r="BH630" s="12"/>
      <c r="BI630" s="12"/>
      <c r="BJ630" s="12"/>
      <c r="BK630" s="12"/>
      <c r="BL630" s="12"/>
      <c r="BM630" s="12"/>
      <c r="BN630" s="12"/>
      <c r="BO630" s="12"/>
      <c r="BP630" s="12"/>
      <c r="BQ630" s="12"/>
      <c r="BR630" s="12"/>
      <c r="BS630" s="12"/>
      <c r="BT630" s="12"/>
      <c r="BU630" s="12"/>
      <c r="BV630" s="12"/>
      <c r="BW630" s="12"/>
      <c r="BX630" s="12"/>
      <c r="BY630" s="12"/>
      <c r="BZ630" s="12"/>
      <c r="CA630" s="12"/>
    </row>
    <row r="631" spans="1:79" x14ac:dyDescent="0.3">
      <c r="A631" s="8">
        <v>3</v>
      </c>
      <c r="B631" s="8" t="s">
        <v>962</v>
      </c>
      <c r="C631" s="8">
        <v>4</v>
      </c>
      <c r="D631" s="8">
        <v>738</v>
      </c>
      <c r="E631" s="8" t="s">
        <v>951</v>
      </c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12"/>
      <c r="AW631" s="12"/>
      <c r="AX631" s="12"/>
      <c r="AY631" s="12"/>
      <c r="AZ631" s="12"/>
      <c r="BA631" s="12"/>
      <c r="BB631" s="12"/>
      <c r="BC631" s="12"/>
      <c r="BD631" s="12"/>
      <c r="BE631" s="12"/>
      <c r="BF631" s="12"/>
      <c r="BG631" s="12"/>
      <c r="BH631" s="12"/>
      <c r="BI631" s="12"/>
      <c r="BJ631" s="12"/>
      <c r="BK631" s="12"/>
      <c r="BL631" s="12"/>
      <c r="BM631" s="12"/>
      <c r="BN631" s="12"/>
      <c r="BO631" s="12"/>
      <c r="BP631" s="12"/>
      <c r="BQ631" s="12"/>
      <c r="BR631" s="12"/>
      <c r="BS631" s="12"/>
      <c r="BT631" s="12"/>
      <c r="BU631" s="12"/>
      <c r="BV631" s="12"/>
      <c r="BW631" s="12"/>
      <c r="BX631" s="12"/>
      <c r="BY631" s="12"/>
      <c r="BZ631" s="12"/>
      <c r="CA631" s="12"/>
    </row>
    <row r="632" spans="1:79" x14ac:dyDescent="0.3">
      <c r="A632" s="8">
        <v>3</v>
      </c>
      <c r="B632" s="8" t="s">
        <v>962</v>
      </c>
      <c r="C632" s="8">
        <v>4</v>
      </c>
      <c r="D632" s="8">
        <v>739</v>
      </c>
      <c r="E632" s="8" t="s">
        <v>950</v>
      </c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12"/>
      <c r="AW632" s="12"/>
      <c r="AX632" s="12"/>
      <c r="AY632" s="12"/>
      <c r="AZ632" s="12"/>
      <c r="BA632" s="12"/>
      <c r="BB632" s="12"/>
      <c r="BC632" s="12"/>
      <c r="BD632" s="12"/>
      <c r="BE632" s="12"/>
      <c r="BF632" s="12"/>
      <c r="BG632" s="12"/>
      <c r="BH632" s="12"/>
      <c r="BI632" s="12"/>
      <c r="BJ632" s="12"/>
      <c r="BK632" s="12"/>
      <c r="BL632" s="12"/>
      <c r="BM632" s="12"/>
      <c r="BN632" s="12"/>
      <c r="BO632" s="12"/>
      <c r="BP632" s="12"/>
      <c r="BQ632" s="12"/>
      <c r="BR632" s="12"/>
      <c r="BS632" s="12"/>
      <c r="BT632" s="12"/>
      <c r="BU632" s="12"/>
      <c r="BV632" s="12"/>
      <c r="BW632" s="12"/>
      <c r="BX632" s="12"/>
      <c r="BY632" s="12"/>
      <c r="BZ632" s="12"/>
      <c r="CA632" s="12"/>
    </row>
    <row r="633" spans="1:79" x14ac:dyDescent="0.3">
      <c r="A633" s="8">
        <v>3</v>
      </c>
      <c r="B633" s="8" t="s">
        <v>962</v>
      </c>
      <c r="C633" s="8">
        <v>4</v>
      </c>
      <c r="D633" s="8">
        <v>740</v>
      </c>
      <c r="E633" s="8" t="s">
        <v>951</v>
      </c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12"/>
      <c r="AW633" s="12"/>
      <c r="AX633" s="12"/>
      <c r="AY633" s="12"/>
      <c r="AZ633" s="12"/>
      <c r="BA633" s="12"/>
      <c r="BB633" s="12"/>
      <c r="BC633" s="12"/>
      <c r="BD633" s="12"/>
      <c r="BE633" s="12"/>
      <c r="BF633" s="12"/>
      <c r="BG633" s="12"/>
      <c r="BH633" s="12"/>
      <c r="BI633" s="12"/>
      <c r="BJ633" s="12"/>
      <c r="BK633" s="12"/>
      <c r="BL633" s="12"/>
      <c r="BM633" s="12"/>
      <c r="BN633" s="12"/>
      <c r="BO633" s="12"/>
      <c r="BP633" s="12"/>
      <c r="BQ633" s="12"/>
      <c r="BR633" s="12"/>
      <c r="BS633" s="12"/>
      <c r="BT633" s="12"/>
      <c r="BU633" s="12"/>
      <c r="BV633" s="12"/>
      <c r="BW633" s="12"/>
      <c r="BX633" s="12"/>
      <c r="BY633" s="12"/>
      <c r="BZ633" s="12"/>
      <c r="CA633" s="12"/>
    </row>
    <row r="634" spans="1:79" x14ac:dyDescent="0.3">
      <c r="A634" s="8">
        <v>3</v>
      </c>
      <c r="B634" s="8" t="s">
        <v>962</v>
      </c>
      <c r="C634" s="8">
        <v>4</v>
      </c>
      <c r="D634" s="8">
        <v>741</v>
      </c>
      <c r="E634" s="8" t="s">
        <v>950</v>
      </c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12"/>
      <c r="AW634" s="12"/>
      <c r="AX634" s="12"/>
      <c r="AY634" s="12"/>
      <c r="AZ634" s="12"/>
      <c r="BA634" s="12"/>
      <c r="BB634" s="12"/>
      <c r="BC634" s="12"/>
      <c r="BD634" s="12"/>
      <c r="BE634" s="12"/>
      <c r="BF634" s="12"/>
      <c r="BG634" s="12"/>
      <c r="BH634" s="12"/>
      <c r="BI634" s="12"/>
      <c r="BJ634" s="12"/>
      <c r="BK634" s="12"/>
      <c r="BL634" s="12"/>
      <c r="BM634" s="12"/>
      <c r="BN634" s="12"/>
      <c r="BO634" s="12"/>
      <c r="BP634" s="12"/>
      <c r="BQ634" s="12"/>
      <c r="BR634" s="12"/>
      <c r="BS634" s="12"/>
      <c r="BT634" s="12"/>
      <c r="BU634" s="12"/>
      <c r="BV634" s="12"/>
      <c r="BW634" s="12"/>
      <c r="BX634" s="12"/>
      <c r="BY634" s="12"/>
      <c r="BZ634" s="12"/>
      <c r="CA634" s="12"/>
    </row>
    <row r="635" spans="1:79" x14ac:dyDescent="0.3">
      <c r="A635" s="8">
        <v>3</v>
      </c>
      <c r="B635" s="8" t="s">
        <v>962</v>
      </c>
      <c r="C635" s="8">
        <v>4</v>
      </c>
      <c r="D635" s="8">
        <v>742</v>
      </c>
      <c r="E635" s="8" t="s">
        <v>950</v>
      </c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12"/>
      <c r="AW635" s="12"/>
      <c r="AX635" s="12"/>
      <c r="AY635" s="12"/>
      <c r="AZ635" s="12"/>
      <c r="BA635" s="12"/>
      <c r="BB635" s="12"/>
      <c r="BC635" s="12"/>
      <c r="BD635" s="12"/>
      <c r="BE635" s="12"/>
      <c r="BF635" s="12"/>
      <c r="BG635" s="12"/>
      <c r="BH635" s="12"/>
      <c r="BI635" s="12"/>
      <c r="BJ635" s="12"/>
      <c r="BK635" s="12"/>
      <c r="BL635" s="12"/>
      <c r="BM635" s="12"/>
      <c r="BN635" s="12"/>
      <c r="BO635" s="12"/>
      <c r="BP635" s="12"/>
      <c r="BQ635" s="12"/>
      <c r="BR635" s="12"/>
      <c r="BS635" s="12"/>
      <c r="BT635" s="12"/>
      <c r="BU635" s="12"/>
      <c r="BV635" s="12"/>
      <c r="BW635" s="12"/>
      <c r="BX635" s="12"/>
      <c r="BY635" s="12"/>
      <c r="BZ635" s="12"/>
      <c r="CA635" s="12"/>
    </row>
    <row r="636" spans="1:79" x14ac:dyDescent="0.3">
      <c r="A636" s="8">
        <v>3</v>
      </c>
      <c r="B636" s="8" t="s">
        <v>962</v>
      </c>
      <c r="C636" s="8">
        <v>4</v>
      </c>
      <c r="D636" s="8">
        <v>743</v>
      </c>
      <c r="E636" s="8" t="s">
        <v>950</v>
      </c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12"/>
      <c r="AW636" s="12"/>
      <c r="AX636" s="12"/>
      <c r="AY636" s="12"/>
      <c r="AZ636" s="12"/>
      <c r="BA636" s="12"/>
      <c r="BB636" s="12"/>
      <c r="BC636" s="12"/>
      <c r="BD636" s="12"/>
      <c r="BE636" s="12"/>
      <c r="BF636" s="12"/>
      <c r="BG636" s="12"/>
      <c r="BH636" s="12"/>
      <c r="BI636" s="12"/>
      <c r="BJ636" s="12"/>
      <c r="BK636" s="12"/>
      <c r="BL636" s="12"/>
      <c r="BM636" s="12"/>
      <c r="BN636" s="12"/>
      <c r="BO636" s="12"/>
      <c r="BP636" s="12"/>
      <c r="BQ636" s="12"/>
      <c r="BR636" s="12"/>
      <c r="BS636" s="12"/>
      <c r="BT636" s="12"/>
      <c r="BU636" s="12"/>
      <c r="BV636" s="12"/>
      <c r="BW636" s="12"/>
      <c r="BX636" s="12"/>
      <c r="BY636" s="12"/>
      <c r="BZ636" s="12"/>
      <c r="CA636" s="12"/>
    </row>
    <row r="637" spans="1:79" x14ac:dyDescent="0.3">
      <c r="A637" s="8">
        <v>1</v>
      </c>
      <c r="B637" s="8" t="s">
        <v>962</v>
      </c>
      <c r="C637" s="8">
        <v>4</v>
      </c>
      <c r="D637" s="8">
        <v>744</v>
      </c>
      <c r="E637" s="8" t="s">
        <v>951</v>
      </c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2"/>
      <c r="BB637" s="12"/>
      <c r="BC637" s="1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2"/>
      <c r="BS637" s="12"/>
      <c r="BT637" s="12"/>
      <c r="BU637" s="12"/>
      <c r="BV637" s="12"/>
      <c r="BW637" s="12"/>
      <c r="BX637" s="12"/>
      <c r="BY637" s="12"/>
      <c r="BZ637" s="12"/>
      <c r="CA637" s="12"/>
    </row>
    <row r="638" spans="1:79" x14ac:dyDescent="0.3">
      <c r="A638" s="8">
        <v>1</v>
      </c>
      <c r="B638" s="8" t="s">
        <v>962</v>
      </c>
      <c r="C638" s="8">
        <v>4</v>
      </c>
      <c r="D638" s="8">
        <v>745</v>
      </c>
      <c r="E638" s="8" t="s">
        <v>951</v>
      </c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12"/>
      <c r="AW638" s="12"/>
      <c r="AX638" s="12"/>
      <c r="AY638" s="12"/>
      <c r="AZ638" s="12"/>
      <c r="BA638" s="12"/>
      <c r="BB638" s="12"/>
      <c r="BC638" s="12"/>
      <c r="BD638" s="12"/>
      <c r="BE638" s="12"/>
      <c r="BF638" s="12"/>
      <c r="BG638" s="12"/>
      <c r="BH638" s="12"/>
      <c r="BI638" s="12"/>
      <c r="BJ638" s="12"/>
      <c r="BK638" s="12"/>
      <c r="BL638" s="12"/>
      <c r="BM638" s="12"/>
      <c r="BN638" s="12"/>
      <c r="BO638" s="12"/>
      <c r="BP638" s="12"/>
      <c r="BQ638" s="12"/>
      <c r="BR638" s="12"/>
      <c r="BS638" s="12"/>
      <c r="BT638" s="12"/>
      <c r="BU638" s="12"/>
      <c r="BV638" s="12"/>
      <c r="BW638" s="12"/>
      <c r="BX638" s="12"/>
      <c r="BY638" s="12"/>
      <c r="BZ638" s="12"/>
      <c r="CA638" s="12"/>
    </row>
    <row r="639" spans="1:79" x14ac:dyDescent="0.3">
      <c r="A639" s="8">
        <v>1</v>
      </c>
      <c r="B639" s="8" t="s">
        <v>963</v>
      </c>
      <c r="C639" s="8">
        <v>6</v>
      </c>
      <c r="D639" s="8">
        <v>757</v>
      </c>
      <c r="E639" s="8" t="s">
        <v>951</v>
      </c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12"/>
      <c r="AW639" s="12"/>
      <c r="AX639" s="12"/>
      <c r="AY639" s="12"/>
      <c r="AZ639" s="12"/>
      <c r="BA639" s="12"/>
      <c r="BB639" s="12"/>
      <c r="BC639" s="12"/>
      <c r="BD639" s="12"/>
      <c r="BE639" s="12"/>
      <c r="BF639" s="12"/>
      <c r="BG639" s="12"/>
      <c r="BH639" s="12"/>
      <c r="BI639" s="12"/>
      <c r="BJ639" s="12"/>
      <c r="BK639" s="12"/>
      <c r="BL639" s="12"/>
      <c r="BM639" s="12"/>
      <c r="BN639" s="12"/>
      <c r="BO639" s="12"/>
      <c r="BP639" s="12"/>
      <c r="BQ639" s="12"/>
      <c r="BR639" s="12"/>
      <c r="BS639" s="12"/>
      <c r="BT639" s="12"/>
      <c r="BU639" s="12"/>
      <c r="BV639" s="12"/>
      <c r="BW639" s="12"/>
      <c r="BX639" s="12"/>
      <c r="BY639" s="12"/>
      <c r="BZ639" s="12"/>
      <c r="CA639" s="12"/>
    </row>
    <row r="640" spans="1:79" x14ac:dyDescent="0.3">
      <c r="A640" s="8">
        <v>1</v>
      </c>
      <c r="B640" s="8" t="s">
        <v>963</v>
      </c>
      <c r="C640" s="8">
        <v>6</v>
      </c>
      <c r="D640" s="8">
        <v>758</v>
      </c>
      <c r="E640" s="8" t="s">
        <v>950</v>
      </c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12"/>
      <c r="AW640" s="12"/>
      <c r="AX640" s="12"/>
      <c r="AY640" s="12"/>
      <c r="AZ640" s="12"/>
      <c r="BA640" s="12"/>
      <c r="BB640" s="12"/>
      <c r="BC640" s="12"/>
      <c r="BD640" s="12"/>
      <c r="BE640" s="12"/>
      <c r="BF640" s="12"/>
      <c r="BG640" s="12"/>
      <c r="BH640" s="12"/>
      <c r="BI640" s="12"/>
      <c r="BJ640" s="12"/>
      <c r="BK640" s="12"/>
      <c r="BL640" s="12"/>
      <c r="BM640" s="12"/>
      <c r="BN640" s="12"/>
      <c r="BO640" s="12"/>
      <c r="BP640" s="12"/>
      <c r="BQ640" s="12"/>
      <c r="BR640" s="12"/>
      <c r="BS640" s="12"/>
      <c r="BT640" s="12"/>
      <c r="BU640" s="12"/>
      <c r="BV640" s="12"/>
      <c r="BW640" s="12"/>
      <c r="BX640" s="12"/>
      <c r="BY640" s="12"/>
      <c r="BZ640" s="12"/>
      <c r="CA640" s="12"/>
    </row>
    <row r="641" spans="1:79" x14ac:dyDescent="0.3">
      <c r="A641" s="8">
        <v>1</v>
      </c>
      <c r="B641" s="8" t="s">
        <v>963</v>
      </c>
      <c r="C641" s="8">
        <v>6</v>
      </c>
      <c r="D641" s="8">
        <v>759</v>
      </c>
      <c r="E641" s="8" t="s">
        <v>951</v>
      </c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12"/>
      <c r="AW641" s="12"/>
      <c r="AX641" s="12"/>
      <c r="AY641" s="12"/>
      <c r="AZ641" s="12"/>
      <c r="BA641" s="12"/>
      <c r="BB641" s="12"/>
      <c r="BC641" s="12"/>
      <c r="BD641" s="12"/>
      <c r="BE641" s="12"/>
      <c r="BF641" s="12"/>
      <c r="BG641" s="12"/>
      <c r="BH641" s="12"/>
      <c r="BI641" s="12"/>
      <c r="BJ641" s="12"/>
      <c r="BK641" s="12"/>
      <c r="BL641" s="12"/>
      <c r="BM641" s="12"/>
      <c r="BN641" s="12"/>
      <c r="BO641" s="12"/>
      <c r="BP641" s="12"/>
      <c r="BQ641" s="12"/>
      <c r="BR641" s="12"/>
      <c r="BS641" s="12"/>
      <c r="BT641" s="12"/>
      <c r="BU641" s="12"/>
      <c r="BV641" s="12"/>
      <c r="BW641" s="12"/>
      <c r="BX641" s="12"/>
      <c r="BY641" s="12"/>
      <c r="BZ641" s="12"/>
      <c r="CA641" s="12"/>
    </row>
    <row r="642" spans="1:79" x14ac:dyDescent="0.3">
      <c r="A642" s="8">
        <v>1</v>
      </c>
      <c r="B642" s="8" t="s">
        <v>963</v>
      </c>
      <c r="C642" s="8">
        <v>6</v>
      </c>
      <c r="D642" s="8">
        <v>760</v>
      </c>
      <c r="E642" s="8" t="s">
        <v>950</v>
      </c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12"/>
      <c r="AW642" s="12"/>
      <c r="AX642" s="12"/>
      <c r="AY642" s="12"/>
      <c r="AZ642" s="12"/>
      <c r="BA642" s="12"/>
      <c r="BB642" s="12"/>
      <c r="BC642" s="12"/>
      <c r="BD642" s="12"/>
      <c r="BE642" s="12"/>
      <c r="BF642" s="12"/>
      <c r="BG642" s="12"/>
      <c r="BH642" s="12"/>
      <c r="BI642" s="12"/>
      <c r="BJ642" s="12"/>
      <c r="BK642" s="12"/>
      <c r="BL642" s="12"/>
      <c r="BM642" s="12"/>
      <c r="BN642" s="12"/>
      <c r="BO642" s="12"/>
      <c r="BP642" s="12"/>
      <c r="BQ642" s="12"/>
      <c r="BR642" s="12"/>
      <c r="BS642" s="12"/>
      <c r="BT642" s="12"/>
      <c r="BU642" s="12"/>
      <c r="BV642" s="12"/>
      <c r="BW642" s="12"/>
      <c r="BX642" s="12"/>
      <c r="BY642" s="12"/>
      <c r="BZ642" s="12"/>
      <c r="CA642" s="12"/>
    </row>
    <row r="643" spans="1:79" x14ac:dyDescent="0.3">
      <c r="A643" s="8">
        <v>1</v>
      </c>
      <c r="B643" s="8" t="s">
        <v>963</v>
      </c>
      <c r="C643" s="8">
        <v>6</v>
      </c>
      <c r="D643" s="8">
        <v>761</v>
      </c>
      <c r="E643" s="8" t="s">
        <v>950</v>
      </c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12"/>
      <c r="AW643" s="12"/>
      <c r="AX643" s="12"/>
      <c r="AY643" s="12"/>
      <c r="AZ643" s="12"/>
      <c r="BA643" s="12"/>
      <c r="BB643" s="12"/>
      <c r="BC643" s="12"/>
      <c r="BD643" s="12"/>
      <c r="BE643" s="12"/>
      <c r="BF643" s="12"/>
      <c r="BG643" s="12"/>
      <c r="BH643" s="12"/>
      <c r="BI643" s="12"/>
      <c r="BJ643" s="12"/>
      <c r="BK643" s="12"/>
      <c r="BL643" s="12"/>
      <c r="BM643" s="12"/>
      <c r="BN643" s="12"/>
      <c r="BO643" s="12"/>
      <c r="BP643" s="12"/>
      <c r="BQ643" s="12"/>
      <c r="BR643" s="12"/>
      <c r="BS643" s="12"/>
      <c r="BT643" s="12"/>
      <c r="BU643" s="12"/>
      <c r="BV643" s="12"/>
      <c r="BW643" s="12"/>
      <c r="BX643" s="12"/>
      <c r="BY643" s="12"/>
      <c r="BZ643" s="12"/>
      <c r="CA643" s="12"/>
    </row>
    <row r="644" spans="1:79" x14ac:dyDescent="0.3">
      <c r="A644" s="8">
        <v>1</v>
      </c>
      <c r="B644" s="8" t="s">
        <v>963</v>
      </c>
      <c r="C644" s="8">
        <v>6</v>
      </c>
      <c r="D644" s="8">
        <v>762</v>
      </c>
      <c r="E644" s="8" t="s">
        <v>950</v>
      </c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12"/>
      <c r="AW644" s="12"/>
      <c r="AX644" s="12"/>
      <c r="AY644" s="12"/>
      <c r="AZ644" s="12"/>
      <c r="BA644" s="12"/>
      <c r="BB644" s="12"/>
      <c r="BC644" s="12"/>
      <c r="BD644" s="12"/>
      <c r="BE644" s="12"/>
      <c r="BF644" s="12"/>
      <c r="BG644" s="12"/>
      <c r="BH644" s="12"/>
      <c r="BI644" s="12"/>
      <c r="BJ644" s="12"/>
      <c r="BK644" s="12"/>
      <c r="BL644" s="12"/>
      <c r="BM644" s="12"/>
      <c r="BN644" s="12"/>
      <c r="BO644" s="12"/>
      <c r="BP644" s="12"/>
      <c r="BQ644" s="12"/>
      <c r="BR644" s="12"/>
      <c r="BS644" s="12"/>
      <c r="BT644" s="12"/>
      <c r="BU644" s="12"/>
      <c r="BV644" s="12"/>
      <c r="BW644" s="12"/>
      <c r="BX644" s="12"/>
      <c r="BY644" s="12"/>
      <c r="BZ644" s="12"/>
      <c r="CA644" s="12"/>
    </row>
    <row r="645" spans="1:79" x14ac:dyDescent="0.3">
      <c r="A645" s="8">
        <v>1</v>
      </c>
      <c r="B645" s="8" t="s">
        <v>963</v>
      </c>
      <c r="C645" s="8">
        <v>6</v>
      </c>
      <c r="D645" s="8">
        <v>763</v>
      </c>
      <c r="E645" s="8" t="s">
        <v>951</v>
      </c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12"/>
      <c r="AW645" s="12"/>
      <c r="AX645" s="12"/>
      <c r="AY645" s="12"/>
      <c r="AZ645" s="12"/>
      <c r="BA645" s="12"/>
      <c r="BB645" s="12"/>
      <c r="BC645" s="12"/>
      <c r="BD645" s="12"/>
      <c r="BE645" s="12"/>
      <c r="BF645" s="12"/>
      <c r="BG645" s="12"/>
      <c r="BH645" s="12"/>
      <c r="BI645" s="12"/>
      <c r="BJ645" s="12"/>
      <c r="BK645" s="12"/>
      <c r="BL645" s="12"/>
      <c r="BM645" s="12"/>
      <c r="BN645" s="12"/>
      <c r="BO645" s="12"/>
      <c r="BP645" s="12"/>
      <c r="BQ645" s="12"/>
      <c r="BR645" s="12"/>
      <c r="BS645" s="12"/>
      <c r="BT645" s="12"/>
      <c r="BU645" s="12"/>
      <c r="BV645" s="12"/>
      <c r="BW645" s="12"/>
      <c r="BX645" s="12"/>
      <c r="BY645" s="12"/>
      <c r="BZ645" s="12"/>
      <c r="CA645" s="12"/>
    </row>
    <row r="646" spans="1:79" x14ac:dyDescent="0.3">
      <c r="A646" s="8">
        <v>1</v>
      </c>
      <c r="B646" s="8" t="s">
        <v>963</v>
      </c>
      <c r="C646" s="8">
        <v>6</v>
      </c>
      <c r="D646" s="8">
        <v>764</v>
      </c>
      <c r="E646" s="8" t="s">
        <v>951</v>
      </c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12"/>
      <c r="AW646" s="12"/>
      <c r="AX646" s="12"/>
      <c r="AY646" s="12"/>
      <c r="AZ646" s="12"/>
      <c r="BA646" s="12"/>
      <c r="BB646" s="12"/>
      <c r="BC646" s="12"/>
      <c r="BD646" s="12"/>
      <c r="BE646" s="12"/>
      <c r="BF646" s="12"/>
      <c r="BG646" s="12"/>
      <c r="BH646" s="12"/>
      <c r="BI646" s="12"/>
      <c r="BJ646" s="12"/>
      <c r="BK646" s="12"/>
      <c r="BL646" s="12"/>
      <c r="BM646" s="12"/>
      <c r="BN646" s="12"/>
      <c r="BO646" s="12"/>
      <c r="BP646" s="12"/>
      <c r="BQ646" s="12"/>
      <c r="BR646" s="12"/>
      <c r="BS646" s="12"/>
      <c r="BT646" s="12"/>
      <c r="BU646" s="12"/>
      <c r="BV646" s="12"/>
      <c r="BW646" s="12"/>
      <c r="BX646" s="12"/>
      <c r="BY646" s="12"/>
      <c r="BZ646" s="12"/>
      <c r="CA646" s="12"/>
    </row>
    <row r="647" spans="1:79" x14ac:dyDescent="0.3">
      <c r="A647" s="8">
        <v>2</v>
      </c>
      <c r="B647" s="8" t="s">
        <v>963</v>
      </c>
      <c r="C647" s="8">
        <v>6</v>
      </c>
      <c r="D647" s="8">
        <v>765</v>
      </c>
      <c r="E647" s="8" t="s">
        <v>951</v>
      </c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12"/>
      <c r="AW647" s="12"/>
      <c r="AX647" s="12"/>
      <c r="AY647" s="12"/>
      <c r="AZ647" s="12"/>
      <c r="BA647" s="12"/>
      <c r="BB647" s="12"/>
      <c r="BC647" s="12"/>
      <c r="BD647" s="12"/>
      <c r="BE647" s="12"/>
      <c r="BF647" s="12"/>
      <c r="BG647" s="12"/>
      <c r="BH647" s="12"/>
      <c r="BI647" s="12"/>
      <c r="BJ647" s="12"/>
      <c r="BK647" s="12"/>
      <c r="BL647" s="12"/>
      <c r="BM647" s="12"/>
      <c r="BN647" s="12"/>
      <c r="BO647" s="12"/>
      <c r="BP647" s="12"/>
      <c r="BQ647" s="12"/>
      <c r="BR647" s="12"/>
      <c r="BS647" s="12"/>
      <c r="BT647" s="12"/>
      <c r="BU647" s="12"/>
      <c r="BV647" s="12"/>
      <c r="BW647" s="12"/>
      <c r="BX647" s="12"/>
      <c r="BY647" s="12"/>
      <c r="BZ647" s="12"/>
      <c r="CA647" s="12"/>
    </row>
    <row r="648" spans="1:79" x14ac:dyDescent="0.3">
      <c r="A648" s="8">
        <v>2</v>
      </c>
      <c r="B648" s="8" t="s">
        <v>963</v>
      </c>
      <c r="C648" s="8">
        <v>6</v>
      </c>
      <c r="D648" s="8">
        <v>766</v>
      </c>
      <c r="E648" s="8" t="s">
        <v>950</v>
      </c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2"/>
      <c r="BB648" s="12"/>
      <c r="BC648" s="1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2"/>
      <c r="BS648" s="12"/>
      <c r="BT648" s="12"/>
      <c r="BU648" s="12"/>
      <c r="BV648" s="12"/>
      <c r="BW648" s="12"/>
      <c r="BX648" s="12"/>
      <c r="BY648" s="12"/>
      <c r="BZ648" s="12"/>
      <c r="CA648" s="12"/>
    </row>
    <row r="649" spans="1:79" x14ac:dyDescent="0.3">
      <c r="A649" s="8">
        <v>2</v>
      </c>
      <c r="B649" s="8" t="s">
        <v>963</v>
      </c>
      <c r="C649" s="8">
        <v>3</v>
      </c>
      <c r="D649" s="8">
        <v>778</v>
      </c>
      <c r="E649" s="8" t="s">
        <v>950</v>
      </c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12"/>
      <c r="AW649" s="12"/>
      <c r="AX649" s="12"/>
      <c r="AY649" s="12"/>
      <c r="AZ649" s="12"/>
      <c r="BA649" s="12"/>
      <c r="BB649" s="12"/>
      <c r="BC649" s="12"/>
      <c r="BD649" s="12"/>
      <c r="BE649" s="12"/>
      <c r="BF649" s="12"/>
      <c r="BG649" s="12"/>
      <c r="BH649" s="12"/>
      <c r="BI649" s="12"/>
      <c r="BJ649" s="12"/>
      <c r="BK649" s="12"/>
      <c r="BL649" s="12"/>
      <c r="BM649" s="12"/>
      <c r="BN649" s="12"/>
      <c r="BO649" s="12"/>
      <c r="BP649" s="12"/>
      <c r="BQ649" s="12"/>
      <c r="BR649" s="12"/>
      <c r="BS649" s="12"/>
      <c r="BT649" s="12"/>
      <c r="BU649" s="12"/>
      <c r="BV649" s="12"/>
      <c r="BW649" s="12"/>
      <c r="BX649" s="12"/>
      <c r="BY649" s="12"/>
      <c r="BZ649" s="12"/>
      <c r="CA649" s="12"/>
    </row>
    <row r="650" spans="1:79" x14ac:dyDescent="0.3">
      <c r="A650" s="8">
        <v>2</v>
      </c>
      <c r="B650" s="8" t="s">
        <v>963</v>
      </c>
      <c r="C650" s="8">
        <v>3</v>
      </c>
      <c r="D650" s="8">
        <v>779</v>
      </c>
      <c r="E650" s="8" t="s">
        <v>950</v>
      </c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12"/>
      <c r="AW650" s="12"/>
      <c r="AX650" s="12"/>
      <c r="AY650" s="12"/>
      <c r="AZ650" s="12"/>
      <c r="BA650" s="12"/>
      <c r="BB650" s="12"/>
      <c r="BC650" s="12"/>
      <c r="BD650" s="12"/>
      <c r="BE650" s="12"/>
      <c r="BF650" s="12"/>
      <c r="BG650" s="12"/>
      <c r="BH650" s="12"/>
      <c r="BI650" s="12"/>
      <c r="BJ650" s="12"/>
      <c r="BK650" s="12"/>
      <c r="BL650" s="12"/>
      <c r="BM650" s="12"/>
      <c r="BN650" s="12"/>
      <c r="BO650" s="12"/>
      <c r="BP650" s="12"/>
      <c r="BQ650" s="12"/>
      <c r="BR650" s="12"/>
      <c r="BS650" s="12"/>
      <c r="BT650" s="12"/>
      <c r="BU650" s="12"/>
      <c r="BV650" s="12"/>
      <c r="BW650" s="12"/>
      <c r="BX650" s="12"/>
      <c r="BY650" s="12"/>
      <c r="BZ650" s="12"/>
      <c r="CA650" s="12"/>
    </row>
    <row r="651" spans="1:79" x14ac:dyDescent="0.3">
      <c r="A651" s="8">
        <v>2</v>
      </c>
      <c r="B651" s="8" t="s">
        <v>963</v>
      </c>
      <c r="C651" s="8">
        <v>3</v>
      </c>
      <c r="D651" s="8">
        <v>780</v>
      </c>
      <c r="E651" s="8" t="s">
        <v>950</v>
      </c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12"/>
      <c r="AW651" s="12"/>
      <c r="AX651" s="12"/>
      <c r="AY651" s="12"/>
      <c r="AZ651" s="12"/>
      <c r="BA651" s="12"/>
      <c r="BB651" s="12"/>
      <c r="BC651" s="12"/>
      <c r="BD651" s="12"/>
      <c r="BE651" s="12"/>
      <c r="BF651" s="12"/>
      <c r="BG651" s="12"/>
      <c r="BH651" s="12"/>
      <c r="BI651" s="12"/>
      <c r="BJ651" s="12"/>
      <c r="BK651" s="12"/>
      <c r="BL651" s="12"/>
      <c r="BM651" s="12"/>
      <c r="BN651" s="12"/>
      <c r="BO651" s="12"/>
      <c r="BP651" s="12"/>
      <c r="BQ651" s="12"/>
      <c r="BR651" s="12"/>
      <c r="BS651" s="12"/>
      <c r="BT651" s="12"/>
      <c r="BU651" s="12"/>
      <c r="BV651" s="12"/>
      <c r="BW651" s="12"/>
      <c r="BX651" s="12"/>
      <c r="BY651" s="12"/>
      <c r="BZ651" s="12"/>
      <c r="CA651" s="12"/>
    </row>
    <row r="652" spans="1:79" x14ac:dyDescent="0.3">
      <c r="A652" s="8">
        <v>2</v>
      </c>
      <c r="B652" s="8" t="s">
        <v>963</v>
      </c>
      <c r="C652" s="8">
        <v>3</v>
      </c>
      <c r="D652" s="8">
        <v>781</v>
      </c>
      <c r="E652" s="8" t="s">
        <v>950</v>
      </c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12"/>
      <c r="AW652" s="12"/>
      <c r="AX652" s="12"/>
      <c r="AY652" s="12"/>
      <c r="AZ652" s="12"/>
      <c r="BA652" s="12"/>
      <c r="BB652" s="12"/>
      <c r="BC652" s="12"/>
      <c r="BD652" s="12"/>
      <c r="BE652" s="12"/>
      <c r="BF652" s="12"/>
      <c r="BG652" s="12"/>
      <c r="BH652" s="12"/>
      <c r="BI652" s="12"/>
      <c r="BJ652" s="12"/>
      <c r="BK652" s="12"/>
      <c r="BL652" s="12"/>
      <c r="BM652" s="12"/>
      <c r="BN652" s="12"/>
      <c r="BO652" s="12"/>
      <c r="BP652" s="12"/>
      <c r="BQ652" s="12"/>
      <c r="BR652" s="12"/>
      <c r="BS652" s="12"/>
      <c r="BT652" s="12"/>
      <c r="BU652" s="12"/>
      <c r="BV652" s="12"/>
      <c r="BW652" s="12"/>
      <c r="BX652" s="12"/>
      <c r="BY652" s="12"/>
      <c r="BZ652" s="12"/>
      <c r="CA652" s="12"/>
    </row>
    <row r="653" spans="1:79" x14ac:dyDescent="0.3">
      <c r="A653" s="8">
        <v>2</v>
      </c>
      <c r="B653" s="8" t="s">
        <v>963</v>
      </c>
      <c r="C653" s="8">
        <v>3</v>
      </c>
      <c r="D653" s="8">
        <v>782</v>
      </c>
      <c r="E653" s="8" t="s">
        <v>950</v>
      </c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12"/>
      <c r="AW653" s="12"/>
      <c r="AX653" s="12"/>
      <c r="AY653" s="12"/>
      <c r="AZ653" s="12"/>
      <c r="BA653" s="12"/>
      <c r="BB653" s="12"/>
      <c r="BC653" s="12"/>
      <c r="BD653" s="12"/>
      <c r="BE653" s="12"/>
      <c r="BF653" s="12"/>
      <c r="BG653" s="12"/>
      <c r="BH653" s="12"/>
      <c r="BI653" s="12"/>
      <c r="BJ653" s="12"/>
      <c r="BK653" s="12"/>
      <c r="BL653" s="12"/>
      <c r="BM653" s="12"/>
      <c r="BN653" s="12"/>
      <c r="BO653" s="12"/>
      <c r="BP653" s="12"/>
      <c r="BQ653" s="12"/>
      <c r="BR653" s="12"/>
      <c r="BS653" s="12"/>
      <c r="BT653" s="12"/>
      <c r="BU653" s="12"/>
      <c r="BV653" s="12"/>
      <c r="BW653" s="12"/>
      <c r="BX653" s="12"/>
      <c r="BY653" s="12"/>
      <c r="BZ653" s="12"/>
      <c r="CA653" s="12"/>
    </row>
    <row r="654" spans="1:79" x14ac:dyDescent="0.3">
      <c r="A654" s="8">
        <v>2</v>
      </c>
      <c r="B654" s="8" t="s">
        <v>963</v>
      </c>
      <c r="C654" s="8">
        <v>3</v>
      </c>
      <c r="D654" s="8">
        <v>783</v>
      </c>
      <c r="E654" s="8" t="s">
        <v>950</v>
      </c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12"/>
      <c r="AW654" s="12"/>
      <c r="AX654" s="12"/>
      <c r="AY654" s="12"/>
      <c r="AZ654" s="12"/>
      <c r="BA654" s="12"/>
      <c r="BB654" s="12"/>
      <c r="BC654" s="12"/>
      <c r="BD654" s="12"/>
      <c r="BE654" s="12"/>
      <c r="BF654" s="12"/>
      <c r="BG654" s="12"/>
      <c r="BH654" s="12"/>
      <c r="BI654" s="12"/>
      <c r="BJ654" s="12"/>
      <c r="BK654" s="12"/>
      <c r="BL654" s="12"/>
      <c r="BM654" s="12"/>
      <c r="BN654" s="12"/>
      <c r="BO654" s="12"/>
      <c r="BP654" s="12"/>
      <c r="BQ654" s="12"/>
      <c r="BR654" s="12"/>
      <c r="BS654" s="12"/>
      <c r="BT654" s="12"/>
      <c r="BU654" s="12"/>
      <c r="BV654" s="12"/>
      <c r="BW654" s="12"/>
      <c r="BX654" s="12"/>
      <c r="BY654" s="12"/>
      <c r="BZ654" s="12"/>
      <c r="CA654" s="12"/>
    </row>
    <row r="655" spans="1:79" x14ac:dyDescent="0.3">
      <c r="A655" s="8">
        <v>2</v>
      </c>
      <c r="B655" s="8" t="s">
        <v>963</v>
      </c>
      <c r="C655" s="8">
        <v>3</v>
      </c>
      <c r="D655" s="8">
        <v>784</v>
      </c>
      <c r="E655" s="8" t="s">
        <v>951</v>
      </c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12"/>
      <c r="AW655" s="12"/>
      <c r="AX655" s="12"/>
      <c r="AY655" s="12"/>
      <c r="AZ655" s="12"/>
      <c r="BA655" s="12"/>
      <c r="BB655" s="12"/>
      <c r="BC655" s="12"/>
      <c r="BD655" s="12"/>
      <c r="BE655" s="12"/>
      <c r="BF655" s="12"/>
      <c r="BG655" s="12"/>
      <c r="BH655" s="12"/>
      <c r="BI655" s="12"/>
      <c r="BJ655" s="12"/>
      <c r="BK655" s="12"/>
      <c r="BL655" s="12"/>
      <c r="BM655" s="12"/>
      <c r="BN655" s="12"/>
      <c r="BO655" s="12"/>
      <c r="BP655" s="12"/>
      <c r="BQ655" s="12"/>
      <c r="BR655" s="12"/>
      <c r="BS655" s="12"/>
      <c r="BT655" s="12"/>
      <c r="BU655" s="12"/>
      <c r="BV655" s="12"/>
      <c r="BW655" s="12"/>
      <c r="BX655" s="12"/>
      <c r="BY655" s="12"/>
      <c r="BZ655" s="12"/>
      <c r="CA655" s="12"/>
    </row>
    <row r="656" spans="1:79" x14ac:dyDescent="0.3">
      <c r="A656" s="8">
        <v>2</v>
      </c>
      <c r="B656" s="8" t="s">
        <v>963</v>
      </c>
      <c r="C656" s="8">
        <v>3</v>
      </c>
      <c r="D656" s="8">
        <v>785</v>
      </c>
      <c r="E656" s="8" t="s">
        <v>950</v>
      </c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12"/>
      <c r="AW656" s="12"/>
      <c r="AX656" s="12"/>
      <c r="AY656" s="12"/>
      <c r="AZ656" s="12"/>
      <c r="BA656" s="12"/>
      <c r="BB656" s="12"/>
      <c r="BC656" s="12"/>
      <c r="BD656" s="12"/>
      <c r="BE656" s="12"/>
      <c r="BF656" s="12"/>
      <c r="BG656" s="12"/>
      <c r="BH656" s="12"/>
      <c r="BI656" s="12"/>
      <c r="BJ656" s="12"/>
      <c r="BK656" s="12"/>
      <c r="BL656" s="12"/>
      <c r="BM656" s="12"/>
      <c r="BN656" s="12"/>
      <c r="BO656" s="12"/>
      <c r="BP656" s="12"/>
      <c r="BQ656" s="12"/>
      <c r="BR656" s="12"/>
      <c r="BS656" s="12"/>
      <c r="BT656" s="12"/>
      <c r="BU656" s="12"/>
      <c r="BV656" s="12"/>
      <c r="BW656" s="12"/>
      <c r="BX656" s="12"/>
      <c r="BY656" s="12"/>
      <c r="BZ656" s="12"/>
      <c r="CA656" s="12"/>
    </row>
    <row r="657" spans="1:79" x14ac:dyDescent="0.3">
      <c r="A657" s="8">
        <v>3</v>
      </c>
      <c r="B657" s="8" t="s">
        <v>963</v>
      </c>
      <c r="C657" s="8">
        <v>3</v>
      </c>
      <c r="D657" s="8">
        <v>786</v>
      </c>
      <c r="E657" s="8" t="s">
        <v>951</v>
      </c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12"/>
      <c r="AW657" s="12"/>
      <c r="AX657" s="12"/>
      <c r="AY657" s="12"/>
      <c r="AZ657" s="12"/>
      <c r="BA657" s="12"/>
      <c r="BB657" s="12"/>
      <c r="BC657" s="12"/>
      <c r="BD657" s="12"/>
      <c r="BE657" s="12"/>
      <c r="BF657" s="12"/>
      <c r="BG657" s="12"/>
      <c r="BH657" s="12"/>
      <c r="BI657" s="12"/>
      <c r="BJ657" s="12"/>
      <c r="BK657" s="12"/>
      <c r="BL657" s="12"/>
      <c r="BM657" s="12"/>
      <c r="BN657" s="12"/>
      <c r="BO657" s="12"/>
      <c r="BP657" s="12"/>
      <c r="BQ657" s="12"/>
      <c r="BR657" s="12"/>
      <c r="BS657" s="12"/>
      <c r="BT657" s="12"/>
      <c r="BU657" s="12"/>
      <c r="BV657" s="12"/>
      <c r="BW657" s="12"/>
      <c r="BX657" s="12"/>
      <c r="BY657" s="12"/>
      <c r="BZ657" s="12"/>
      <c r="CA657" s="12"/>
    </row>
    <row r="658" spans="1:79" x14ac:dyDescent="0.3">
      <c r="A658" s="8">
        <v>3</v>
      </c>
      <c r="B658" s="8" t="s">
        <v>963</v>
      </c>
      <c r="C658" s="8">
        <v>3</v>
      </c>
      <c r="D658" s="8">
        <v>787</v>
      </c>
      <c r="E658" s="8" t="s">
        <v>950</v>
      </c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12"/>
      <c r="AW658" s="12"/>
      <c r="AX658" s="12"/>
      <c r="AY658" s="12"/>
      <c r="AZ658" s="12"/>
      <c r="BA658" s="12"/>
      <c r="BB658" s="12"/>
      <c r="BC658" s="12"/>
      <c r="BD658" s="12"/>
      <c r="BE658" s="12"/>
      <c r="BF658" s="12"/>
      <c r="BG658" s="12"/>
      <c r="BH658" s="12"/>
      <c r="BI658" s="12"/>
      <c r="BJ658" s="12"/>
      <c r="BK658" s="12"/>
      <c r="BL658" s="12"/>
      <c r="BM658" s="12"/>
      <c r="BN658" s="12"/>
      <c r="BO658" s="12"/>
      <c r="BP658" s="12"/>
      <c r="BQ658" s="12"/>
      <c r="BR658" s="12"/>
      <c r="BS658" s="12"/>
      <c r="BT658" s="12"/>
      <c r="BU658" s="12"/>
      <c r="BV658" s="12"/>
      <c r="BW658" s="12"/>
      <c r="BX658" s="12"/>
      <c r="BY658" s="12"/>
      <c r="BZ658" s="12"/>
      <c r="CA658" s="12"/>
    </row>
    <row r="659" spans="1:79" x14ac:dyDescent="0.3">
      <c r="A659" s="8">
        <v>3</v>
      </c>
      <c r="B659" s="8" t="s">
        <v>963</v>
      </c>
      <c r="C659" s="8">
        <v>5</v>
      </c>
      <c r="D659" s="8">
        <v>799</v>
      </c>
      <c r="E659" s="8" t="s">
        <v>950</v>
      </c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/>
      <c r="BC659" s="1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2"/>
      <c r="BS659" s="12"/>
      <c r="BT659" s="12"/>
      <c r="BU659" s="12"/>
      <c r="BV659" s="12"/>
      <c r="BW659" s="12"/>
      <c r="BX659" s="12"/>
      <c r="BY659" s="12"/>
      <c r="BZ659" s="12"/>
      <c r="CA659" s="12"/>
    </row>
    <row r="660" spans="1:79" x14ac:dyDescent="0.3">
      <c r="A660" s="8">
        <v>3</v>
      </c>
      <c r="B660" s="8" t="s">
        <v>963</v>
      </c>
      <c r="C660" s="8">
        <v>5</v>
      </c>
      <c r="D660" s="8">
        <v>800</v>
      </c>
      <c r="E660" s="8" t="s">
        <v>951</v>
      </c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12"/>
      <c r="AW660" s="12"/>
      <c r="AX660" s="12"/>
      <c r="AY660" s="12"/>
      <c r="AZ660" s="12"/>
      <c r="BA660" s="12"/>
      <c r="BB660" s="12"/>
      <c r="BC660" s="12"/>
      <c r="BD660" s="12"/>
      <c r="BE660" s="12"/>
      <c r="BF660" s="12"/>
      <c r="BG660" s="12"/>
      <c r="BH660" s="12"/>
      <c r="BI660" s="12"/>
      <c r="BJ660" s="12"/>
      <c r="BK660" s="12"/>
      <c r="BL660" s="12"/>
      <c r="BM660" s="12"/>
      <c r="BN660" s="12"/>
      <c r="BO660" s="12"/>
      <c r="BP660" s="12"/>
      <c r="BQ660" s="12"/>
      <c r="BR660" s="12"/>
      <c r="BS660" s="12"/>
      <c r="BT660" s="12"/>
      <c r="BU660" s="12"/>
      <c r="BV660" s="12"/>
      <c r="BW660" s="12"/>
      <c r="BX660" s="12"/>
      <c r="BY660" s="12"/>
      <c r="BZ660" s="12"/>
      <c r="CA660" s="12"/>
    </row>
    <row r="661" spans="1:79" x14ac:dyDescent="0.3">
      <c r="A661" s="8">
        <v>3</v>
      </c>
      <c r="B661" s="8" t="s">
        <v>963</v>
      </c>
      <c r="C661" s="8">
        <v>5</v>
      </c>
      <c r="D661" s="8">
        <v>801</v>
      </c>
      <c r="E661" s="8" t="s">
        <v>951</v>
      </c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12"/>
      <c r="AW661" s="12"/>
      <c r="AX661" s="12"/>
      <c r="AY661" s="12"/>
      <c r="AZ661" s="12"/>
      <c r="BA661" s="12"/>
      <c r="BB661" s="12"/>
      <c r="BC661" s="12"/>
      <c r="BD661" s="12"/>
      <c r="BE661" s="12"/>
      <c r="BF661" s="12"/>
      <c r="BG661" s="12"/>
      <c r="BH661" s="12"/>
      <c r="BI661" s="12"/>
      <c r="BJ661" s="12"/>
      <c r="BK661" s="12"/>
      <c r="BL661" s="12"/>
      <c r="BM661" s="12"/>
      <c r="BN661" s="12"/>
      <c r="BO661" s="12"/>
      <c r="BP661" s="12"/>
      <c r="BQ661" s="12"/>
      <c r="BR661" s="12"/>
      <c r="BS661" s="12"/>
      <c r="BT661" s="12"/>
      <c r="BU661" s="12"/>
      <c r="BV661" s="12"/>
      <c r="BW661" s="12"/>
      <c r="BX661" s="12"/>
      <c r="BY661" s="12"/>
      <c r="BZ661" s="12"/>
      <c r="CA661" s="12"/>
    </row>
    <row r="662" spans="1:79" x14ac:dyDescent="0.3">
      <c r="A662" s="8">
        <v>3</v>
      </c>
      <c r="B662" s="8" t="s">
        <v>963</v>
      </c>
      <c r="C662" s="8">
        <v>5</v>
      </c>
      <c r="D662" s="8">
        <v>802</v>
      </c>
      <c r="E662" s="8" t="s">
        <v>951</v>
      </c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12"/>
      <c r="AW662" s="12"/>
      <c r="AX662" s="12"/>
      <c r="AY662" s="12"/>
      <c r="AZ662" s="12"/>
      <c r="BA662" s="12"/>
      <c r="BB662" s="12"/>
      <c r="BC662" s="12"/>
      <c r="BD662" s="12"/>
      <c r="BE662" s="12"/>
      <c r="BF662" s="12"/>
      <c r="BG662" s="12"/>
      <c r="BH662" s="12"/>
      <c r="BI662" s="12"/>
      <c r="BJ662" s="12"/>
      <c r="BK662" s="12"/>
      <c r="BL662" s="12"/>
      <c r="BM662" s="12"/>
      <c r="BN662" s="12"/>
      <c r="BO662" s="12"/>
      <c r="BP662" s="12"/>
      <c r="BQ662" s="12"/>
      <c r="BR662" s="12"/>
      <c r="BS662" s="12"/>
      <c r="BT662" s="12"/>
      <c r="BU662" s="12"/>
      <c r="BV662" s="12"/>
      <c r="BW662" s="12"/>
      <c r="BX662" s="12"/>
      <c r="BY662" s="12"/>
      <c r="BZ662" s="12"/>
      <c r="CA662" s="12"/>
    </row>
    <row r="663" spans="1:79" x14ac:dyDescent="0.3">
      <c r="A663" s="8">
        <v>3</v>
      </c>
      <c r="B663" s="8" t="s">
        <v>963</v>
      </c>
      <c r="C663" s="8">
        <v>5</v>
      </c>
      <c r="D663" s="8">
        <v>803</v>
      </c>
      <c r="E663" s="8" t="s">
        <v>950</v>
      </c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12"/>
      <c r="AW663" s="12"/>
      <c r="AX663" s="12"/>
      <c r="AY663" s="12"/>
      <c r="AZ663" s="12"/>
      <c r="BA663" s="12"/>
      <c r="BB663" s="12"/>
      <c r="BC663" s="12"/>
      <c r="BD663" s="12"/>
      <c r="BE663" s="12"/>
      <c r="BF663" s="12"/>
      <c r="BG663" s="12"/>
      <c r="BH663" s="12"/>
      <c r="BI663" s="12"/>
      <c r="BJ663" s="12"/>
      <c r="BK663" s="12"/>
      <c r="BL663" s="12"/>
      <c r="BM663" s="12"/>
      <c r="BN663" s="12"/>
      <c r="BO663" s="12"/>
      <c r="BP663" s="12"/>
      <c r="BQ663" s="12"/>
      <c r="BR663" s="12"/>
      <c r="BS663" s="12"/>
      <c r="BT663" s="12"/>
      <c r="BU663" s="12"/>
      <c r="BV663" s="12"/>
      <c r="BW663" s="12"/>
      <c r="BX663" s="12"/>
      <c r="BY663" s="12"/>
      <c r="BZ663" s="12"/>
      <c r="CA663" s="12"/>
    </row>
    <row r="664" spans="1:79" x14ac:dyDescent="0.3">
      <c r="A664" s="8">
        <v>3</v>
      </c>
      <c r="B664" s="8" t="s">
        <v>963</v>
      </c>
      <c r="C664" s="8">
        <v>5</v>
      </c>
      <c r="D664" s="8">
        <v>804</v>
      </c>
      <c r="E664" s="8" t="s">
        <v>951</v>
      </c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12"/>
      <c r="AW664" s="12"/>
      <c r="AX664" s="12"/>
      <c r="AY664" s="12"/>
      <c r="AZ664" s="12"/>
      <c r="BA664" s="12"/>
      <c r="BB664" s="12"/>
      <c r="BC664" s="12"/>
      <c r="BD664" s="12"/>
      <c r="BE664" s="12"/>
      <c r="BF664" s="12"/>
      <c r="BG664" s="12"/>
      <c r="BH664" s="12"/>
      <c r="BI664" s="12"/>
      <c r="BJ664" s="12"/>
      <c r="BK664" s="12"/>
      <c r="BL664" s="12"/>
      <c r="BM664" s="12"/>
      <c r="BN664" s="12"/>
      <c r="BO664" s="12"/>
      <c r="BP664" s="12"/>
      <c r="BQ664" s="12"/>
      <c r="BR664" s="12"/>
      <c r="BS664" s="12"/>
      <c r="BT664" s="12"/>
      <c r="BU664" s="12"/>
      <c r="BV664" s="12"/>
      <c r="BW664" s="12"/>
      <c r="BX664" s="12"/>
      <c r="BY664" s="12"/>
      <c r="BZ664" s="12"/>
      <c r="CA664" s="12"/>
    </row>
    <row r="665" spans="1:79" x14ac:dyDescent="0.3">
      <c r="A665" s="8">
        <v>3</v>
      </c>
      <c r="B665" s="8" t="s">
        <v>963</v>
      </c>
      <c r="C665" s="8">
        <v>5</v>
      </c>
      <c r="D665" s="8">
        <v>805</v>
      </c>
      <c r="E665" s="8" t="s">
        <v>951</v>
      </c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12"/>
      <c r="AW665" s="12"/>
      <c r="AX665" s="12"/>
      <c r="AY665" s="12"/>
      <c r="AZ665" s="12"/>
      <c r="BA665" s="12"/>
      <c r="BB665" s="12"/>
      <c r="BC665" s="12"/>
      <c r="BD665" s="12"/>
      <c r="BE665" s="12"/>
      <c r="BF665" s="12"/>
      <c r="BG665" s="12"/>
      <c r="BH665" s="12"/>
      <c r="BI665" s="12"/>
      <c r="BJ665" s="12"/>
      <c r="BK665" s="12"/>
      <c r="BL665" s="12"/>
      <c r="BM665" s="12"/>
      <c r="BN665" s="12"/>
      <c r="BO665" s="12"/>
      <c r="BP665" s="12"/>
      <c r="BQ665" s="12"/>
      <c r="BR665" s="12"/>
      <c r="BS665" s="12"/>
      <c r="BT665" s="12"/>
      <c r="BU665" s="12"/>
      <c r="BV665" s="12"/>
      <c r="BW665" s="12"/>
      <c r="BX665" s="12"/>
      <c r="BY665" s="12"/>
      <c r="BZ665" s="12"/>
      <c r="CA665" s="12"/>
    </row>
    <row r="666" spans="1:79" x14ac:dyDescent="0.3">
      <c r="A666" s="8">
        <v>3</v>
      </c>
      <c r="B666" s="8" t="s">
        <v>963</v>
      </c>
      <c r="C666" s="8">
        <v>5</v>
      </c>
      <c r="D666" s="8">
        <v>806</v>
      </c>
      <c r="E666" s="8" t="s">
        <v>950</v>
      </c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12"/>
      <c r="AW666" s="12"/>
      <c r="AX666" s="12"/>
      <c r="AY666" s="12"/>
      <c r="AZ666" s="12"/>
      <c r="BA666" s="12"/>
      <c r="BB666" s="12"/>
      <c r="BC666" s="12"/>
      <c r="BD666" s="12"/>
      <c r="BE666" s="12"/>
      <c r="BF666" s="12"/>
      <c r="BG666" s="12"/>
      <c r="BH666" s="12"/>
      <c r="BI666" s="12"/>
      <c r="BJ666" s="12"/>
      <c r="BK666" s="12"/>
      <c r="BL666" s="12"/>
      <c r="BM666" s="12"/>
      <c r="BN666" s="12"/>
      <c r="BO666" s="12"/>
      <c r="BP666" s="12"/>
      <c r="BQ666" s="12"/>
      <c r="BR666" s="12"/>
      <c r="BS666" s="12"/>
      <c r="BT666" s="12"/>
      <c r="BU666" s="12"/>
      <c r="BV666" s="12"/>
      <c r="BW666" s="12"/>
      <c r="BX666" s="12"/>
      <c r="BY666" s="12"/>
      <c r="BZ666" s="12"/>
      <c r="CA666" s="12"/>
    </row>
  </sheetData>
  <autoFilter ref="A3:CA666" xr:uid="{00000000-0009-0000-0000-000001000000}"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</autoFilter>
  <mergeCells count="74">
    <mergeCell ref="BT2:BU2"/>
    <mergeCell ref="BV2:BW2"/>
    <mergeCell ref="BX2:BY2"/>
    <mergeCell ref="BZ2:CA2"/>
    <mergeCell ref="BH2:BI2"/>
    <mergeCell ref="BJ2:BK2"/>
    <mergeCell ref="BL2:BM2"/>
    <mergeCell ref="BN2:BO2"/>
    <mergeCell ref="BP2:BQ2"/>
    <mergeCell ref="BR2:BS2"/>
    <mergeCell ref="BF2:BG2"/>
    <mergeCell ref="AJ2:AK2"/>
    <mergeCell ref="AL2:AM2"/>
    <mergeCell ref="AN2:AO2"/>
    <mergeCell ref="AP2:AQ2"/>
    <mergeCell ref="AR2:AS2"/>
    <mergeCell ref="AT2:AU2"/>
    <mergeCell ref="AV2:AW2"/>
    <mergeCell ref="AX2:AY2"/>
    <mergeCell ref="AZ2:BA2"/>
    <mergeCell ref="BB2:BC2"/>
    <mergeCell ref="BD2:BE2"/>
    <mergeCell ref="X2:Y2"/>
    <mergeCell ref="Z2:AA2"/>
    <mergeCell ref="AB2:AC2"/>
    <mergeCell ref="AD2:AE2"/>
    <mergeCell ref="AF2:AG2"/>
    <mergeCell ref="AH2:AI2"/>
    <mergeCell ref="BZ1:CA1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BN1:BO1"/>
    <mergeCell ref="BP1:BQ1"/>
    <mergeCell ref="BR1:BS1"/>
    <mergeCell ref="BT1:BU1"/>
    <mergeCell ref="BV1:BW1"/>
    <mergeCell ref="BX1:BY1"/>
    <mergeCell ref="BB1:BC1"/>
    <mergeCell ref="BD1:BE1"/>
    <mergeCell ref="BF1:BG1"/>
    <mergeCell ref="BH1:BI1"/>
    <mergeCell ref="BJ1:BK1"/>
    <mergeCell ref="BL1:BM1"/>
    <mergeCell ref="AZ1:BA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AV1:AW1"/>
    <mergeCell ref="AX1:AY1"/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Q335"/>
  <sheetViews>
    <sheetView topLeftCell="H1" workbookViewId="0">
      <pane ySplit="1" topLeftCell="A2" activePane="bottomLeft" state="frozen"/>
      <selection pane="bottomLeft" activeCell="O3" sqref="O3"/>
    </sheetView>
  </sheetViews>
  <sheetFormatPr baseColWidth="10" defaultRowHeight="14.4" x14ac:dyDescent="0.3"/>
  <cols>
    <col min="1" max="1" width="14.33203125" bestFit="1" customWidth="1"/>
    <col min="2" max="2" width="16.5546875" bestFit="1" customWidth="1"/>
    <col min="3" max="3" width="19.33203125" bestFit="1" customWidth="1"/>
    <col min="4" max="4" width="35.33203125" bestFit="1" customWidth="1"/>
    <col min="5" max="5" width="24" bestFit="1" customWidth="1"/>
    <col min="6" max="6" width="21.6640625" bestFit="1" customWidth="1"/>
    <col min="7" max="7" width="21" bestFit="1" customWidth="1"/>
    <col min="8" max="8" width="21.44140625" bestFit="1" customWidth="1"/>
    <col min="9" max="9" width="15.6640625" bestFit="1" customWidth="1"/>
    <col min="10" max="10" width="17" bestFit="1" customWidth="1"/>
    <col min="11" max="11" width="16.6640625" bestFit="1" customWidth="1"/>
    <col min="12" max="12" width="16.33203125" bestFit="1" customWidth="1"/>
    <col min="13" max="13" width="12.6640625" bestFit="1" customWidth="1"/>
    <col min="14" max="14" width="24.33203125" bestFit="1" customWidth="1"/>
    <col min="15" max="15" width="15.6640625" bestFit="1" customWidth="1"/>
    <col min="16" max="16" width="19.6640625" bestFit="1" customWidth="1"/>
    <col min="17" max="17" width="88" bestFit="1" customWidth="1"/>
  </cols>
  <sheetData>
    <row r="1" spans="1:17" x14ac:dyDescent="0.3">
      <c r="A1" s="8" t="s">
        <v>964</v>
      </c>
      <c r="B1" s="8" t="s">
        <v>965</v>
      </c>
      <c r="C1" s="8" t="s">
        <v>966</v>
      </c>
      <c r="D1" s="8" t="s">
        <v>967</v>
      </c>
      <c r="E1" s="8" t="s">
        <v>968</v>
      </c>
      <c r="F1" s="8" t="s">
        <v>969</v>
      </c>
      <c r="G1" s="8" t="s">
        <v>970</v>
      </c>
      <c r="H1" s="8" t="s">
        <v>971</v>
      </c>
      <c r="I1" s="8" t="s">
        <v>972</v>
      </c>
      <c r="J1" s="8" t="s">
        <v>973</v>
      </c>
      <c r="K1" s="8" t="s">
        <v>974</v>
      </c>
      <c r="L1" s="8" t="s">
        <v>975</v>
      </c>
      <c r="M1" s="8" t="s">
        <v>976</v>
      </c>
      <c r="N1" s="8" t="s">
        <v>977</v>
      </c>
      <c r="O1" s="8" t="s">
        <v>978</v>
      </c>
      <c r="P1" s="8" t="s">
        <v>18</v>
      </c>
      <c r="Q1" s="8" t="s">
        <v>2441</v>
      </c>
    </row>
    <row r="2" spans="1:17" x14ac:dyDescent="0.3">
      <c r="A2" s="8">
        <v>332</v>
      </c>
      <c r="B2" s="9" t="s">
        <v>979</v>
      </c>
      <c r="C2" s="9" t="s">
        <v>980</v>
      </c>
      <c r="D2" s="9" t="s">
        <v>2781</v>
      </c>
      <c r="E2" s="8">
        <v>92160</v>
      </c>
      <c r="F2" s="9" t="s">
        <v>39</v>
      </c>
      <c r="G2" s="9" t="s">
        <v>981</v>
      </c>
      <c r="H2" s="8">
        <v>666666666</v>
      </c>
      <c r="I2" s="8">
        <v>20</v>
      </c>
      <c r="J2" s="8">
        <v>118</v>
      </c>
      <c r="K2" s="8">
        <v>196</v>
      </c>
      <c r="L2" s="9" t="s">
        <v>982</v>
      </c>
      <c r="M2" s="9" t="s">
        <v>2777</v>
      </c>
      <c r="N2" s="8">
        <v>1</v>
      </c>
      <c r="O2" s="8">
        <v>5</v>
      </c>
      <c r="P2" s="8">
        <v>3</v>
      </c>
      <c r="Q2" s="8" t="str">
        <f>VLOOKUP(patient[[#This Row],[ID_mutuelle]],mutuelle[],2,FALSE)</f>
        <v>AMICALE DU PERSONNEL DE FLEURY MICHON SA</v>
      </c>
    </row>
    <row r="3" spans="1:17" x14ac:dyDescent="0.3">
      <c r="A3" s="8">
        <v>333</v>
      </c>
      <c r="B3" s="9" t="s">
        <v>360</v>
      </c>
      <c r="C3" s="9" t="s">
        <v>984</v>
      </c>
      <c r="D3" s="9" t="s">
        <v>985</v>
      </c>
      <c r="E3" s="8">
        <v>91883</v>
      </c>
      <c r="F3" s="9" t="s">
        <v>189</v>
      </c>
      <c r="G3" s="9" t="s">
        <v>986</v>
      </c>
      <c r="H3" s="8">
        <v>664812663</v>
      </c>
      <c r="I3" s="8">
        <v>70</v>
      </c>
      <c r="J3" s="8">
        <v>63</v>
      </c>
      <c r="K3" s="8">
        <v>90</v>
      </c>
      <c r="L3" s="9" t="s">
        <v>987</v>
      </c>
      <c r="M3" s="9" t="s">
        <v>988</v>
      </c>
      <c r="N3" s="8">
        <v>1</v>
      </c>
      <c r="O3" s="8">
        <v>99</v>
      </c>
      <c r="P3" s="8">
        <v>3</v>
      </c>
      <c r="Q3" s="8" t="str">
        <f>VLOOKUP(patient[[#This Row],[ID_mutuelle]],mutuelle[],2,FALSE)</f>
        <v>MUTUELLE DE L'ENSEIGNEMENT CATHOLIQUE DE L'ANJOU</v>
      </c>
    </row>
    <row r="4" spans="1:17" x14ac:dyDescent="0.3">
      <c r="A4" s="8">
        <v>334</v>
      </c>
      <c r="B4" s="9" t="s">
        <v>989</v>
      </c>
      <c r="C4" s="9" t="s">
        <v>990</v>
      </c>
      <c r="D4" s="9" t="s">
        <v>991</v>
      </c>
      <c r="E4" s="8">
        <v>93838</v>
      </c>
      <c r="F4" s="9" t="s">
        <v>52</v>
      </c>
      <c r="G4" s="9" t="s">
        <v>992</v>
      </c>
      <c r="H4" s="8">
        <v>691093632</v>
      </c>
      <c r="I4" s="8">
        <v>51</v>
      </c>
      <c r="J4" s="8">
        <v>69</v>
      </c>
      <c r="K4" s="8">
        <v>149</v>
      </c>
      <c r="L4" s="9" t="s">
        <v>982</v>
      </c>
      <c r="M4" s="9" t="s">
        <v>993</v>
      </c>
      <c r="N4" s="8">
        <v>1</v>
      </c>
      <c r="O4" s="8">
        <v>190</v>
      </c>
      <c r="P4" s="8">
        <v>3</v>
      </c>
      <c r="Q4" s="8" t="str">
        <f>VLOOKUP(patient[[#This Row],[ID_mutuelle]],mutuelle[],2,FALSE)</f>
        <v>MUTUELLE INTERGROUPES D'ENTRAIDE</v>
      </c>
    </row>
    <row r="5" spans="1:17" x14ac:dyDescent="0.3">
      <c r="A5" s="8">
        <v>335</v>
      </c>
      <c r="B5" s="9" t="s">
        <v>994</v>
      </c>
      <c r="C5" s="9" t="s">
        <v>995</v>
      </c>
      <c r="D5" s="9" t="s">
        <v>996</v>
      </c>
      <c r="E5" s="8">
        <v>93649</v>
      </c>
      <c r="F5" s="9" t="s">
        <v>368</v>
      </c>
      <c r="G5" s="9" t="s">
        <v>997</v>
      </c>
      <c r="H5" s="8">
        <v>666208896</v>
      </c>
      <c r="I5" s="8">
        <v>56</v>
      </c>
      <c r="J5" s="8">
        <v>62</v>
      </c>
      <c r="K5" s="8">
        <v>128</v>
      </c>
      <c r="L5" s="9" t="s">
        <v>987</v>
      </c>
      <c r="M5" s="9" t="s">
        <v>998</v>
      </c>
      <c r="N5" s="8">
        <v>0</v>
      </c>
      <c r="O5" s="8">
        <v>28</v>
      </c>
      <c r="P5" s="8">
        <v>3</v>
      </c>
      <c r="Q5" s="8" t="str">
        <f>VLOOKUP(patient[[#This Row],[ID_mutuelle]],mutuelle[],2,FALSE)</f>
        <v>INTERIALE MUTUELLE</v>
      </c>
    </row>
    <row r="6" spans="1:17" x14ac:dyDescent="0.3">
      <c r="A6" s="8">
        <v>336</v>
      </c>
      <c r="B6" s="9" t="s">
        <v>999</v>
      </c>
      <c r="C6" s="9" t="s">
        <v>1000</v>
      </c>
      <c r="D6" s="9" t="s">
        <v>1001</v>
      </c>
      <c r="E6" s="8">
        <v>75333</v>
      </c>
      <c r="F6" s="9" t="s">
        <v>288</v>
      </c>
      <c r="G6" s="9" t="s">
        <v>1002</v>
      </c>
      <c r="H6" s="8">
        <v>679901649</v>
      </c>
      <c r="I6" s="8">
        <v>104</v>
      </c>
      <c r="J6" s="8">
        <v>109</v>
      </c>
      <c r="K6" s="8">
        <v>112</v>
      </c>
      <c r="L6" s="9" t="s">
        <v>982</v>
      </c>
      <c r="M6" s="9" t="s">
        <v>993</v>
      </c>
      <c r="N6" s="8">
        <v>0</v>
      </c>
      <c r="O6" s="8">
        <v>116</v>
      </c>
      <c r="P6" s="8">
        <v>2</v>
      </c>
      <c r="Q6" s="8" t="str">
        <f>VLOOKUP(patient[[#This Row],[ID_mutuelle]],mutuelle[],2,FALSE)</f>
        <v>MUTUELLE DES AFFAIRES ETRANGERES ET EUROPEENNES</v>
      </c>
    </row>
    <row r="7" spans="1:17" x14ac:dyDescent="0.3">
      <c r="A7" s="8">
        <v>337</v>
      </c>
      <c r="B7" s="9" t="s">
        <v>1003</v>
      </c>
      <c r="C7" s="9" t="s">
        <v>1004</v>
      </c>
      <c r="D7" s="9" t="s">
        <v>1005</v>
      </c>
      <c r="E7" s="8">
        <v>78732</v>
      </c>
      <c r="F7" s="9" t="s">
        <v>340</v>
      </c>
      <c r="G7" s="9" t="s">
        <v>1006</v>
      </c>
      <c r="H7" s="8">
        <v>652279529</v>
      </c>
      <c r="I7" s="8">
        <v>15</v>
      </c>
      <c r="J7" s="8">
        <v>41</v>
      </c>
      <c r="K7" s="8">
        <v>219</v>
      </c>
      <c r="L7" s="9" t="s">
        <v>987</v>
      </c>
      <c r="M7" s="9" t="s">
        <v>983</v>
      </c>
      <c r="N7" s="8">
        <v>0</v>
      </c>
      <c r="O7" s="8">
        <v>15</v>
      </c>
      <c r="P7" s="8">
        <v>1</v>
      </c>
      <c r="Q7" s="8" t="str">
        <f>VLOOKUP(patient[[#This Row],[ID_mutuelle]],mutuelle[],2,FALSE)</f>
        <v>CDC MUTUELLE</v>
      </c>
    </row>
    <row r="8" spans="1:17" x14ac:dyDescent="0.3">
      <c r="A8" s="8">
        <v>338</v>
      </c>
      <c r="B8" s="9" t="s">
        <v>1007</v>
      </c>
      <c r="C8" s="9" t="s">
        <v>1008</v>
      </c>
      <c r="D8" s="9" t="s">
        <v>1009</v>
      </c>
      <c r="E8" s="8">
        <v>78618</v>
      </c>
      <c r="F8" s="9" t="s">
        <v>257</v>
      </c>
      <c r="G8" s="9" t="s">
        <v>1010</v>
      </c>
      <c r="H8" s="8">
        <v>673174432</v>
      </c>
      <c r="I8" s="8">
        <v>91</v>
      </c>
      <c r="J8" s="8">
        <v>30</v>
      </c>
      <c r="K8" s="8">
        <v>160</v>
      </c>
      <c r="L8" s="9" t="s">
        <v>982</v>
      </c>
      <c r="M8" s="9" t="s">
        <v>983</v>
      </c>
      <c r="N8" s="8">
        <v>0</v>
      </c>
      <c r="O8" s="8">
        <v>150</v>
      </c>
      <c r="P8" s="8">
        <v>2</v>
      </c>
      <c r="Q8" s="8" t="str">
        <f>VLOOKUP(patient[[#This Row],[ID_mutuelle]],mutuelle[],2,FALSE)</f>
        <v>MUTUELLE DU GRAND PORT MARITIME DU HAVRE</v>
      </c>
    </row>
    <row r="9" spans="1:17" x14ac:dyDescent="0.3">
      <c r="A9" s="8">
        <v>339</v>
      </c>
      <c r="B9" s="9" t="s">
        <v>1011</v>
      </c>
      <c r="C9" s="9" t="s">
        <v>1012</v>
      </c>
      <c r="D9" s="9" t="s">
        <v>1013</v>
      </c>
      <c r="E9" s="8">
        <v>93715</v>
      </c>
      <c r="F9" s="9" t="s">
        <v>52</v>
      </c>
      <c r="G9" s="9" t="s">
        <v>1014</v>
      </c>
      <c r="H9" s="8">
        <v>692556106</v>
      </c>
      <c r="I9" s="8">
        <v>56</v>
      </c>
      <c r="J9" s="8">
        <v>136</v>
      </c>
      <c r="K9" s="8">
        <v>156</v>
      </c>
      <c r="L9" s="9" t="s">
        <v>982</v>
      </c>
      <c r="M9" s="9" t="s">
        <v>1015</v>
      </c>
      <c r="N9" s="8">
        <v>1</v>
      </c>
      <c r="O9" s="8">
        <v>65</v>
      </c>
      <c r="P9" s="8">
        <v>2</v>
      </c>
      <c r="Q9" s="8" t="str">
        <f>VLOOKUP(patient[[#This Row],[ID_mutuelle]],mutuelle[],2,FALSE)</f>
        <v>MUTAME SAVOIE MONT BLANC</v>
      </c>
    </row>
    <row r="10" spans="1:17" x14ac:dyDescent="0.3">
      <c r="A10" s="8">
        <v>340</v>
      </c>
      <c r="B10" s="9" t="s">
        <v>1016</v>
      </c>
      <c r="C10" s="9" t="s">
        <v>1017</v>
      </c>
      <c r="D10" s="9" t="s">
        <v>1018</v>
      </c>
      <c r="E10" s="8">
        <v>75837</v>
      </c>
      <c r="F10" s="9" t="s">
        <v>168</v>
      </c>
      <c r="G10" s="9" t="s">
        <v>1019</v>
      </c>
      <c r="H10" s="8">
        <v>636932714</v>
      </c>
      <c r="I10" s="8">
        <v>52</v>
      </c>
      <c r="J10" s="8">
        <v>36</v>
      </c>
      <c r="K10" s="8">
        <v>122</v>
      </c>
      <c r="L10" s="9" t="s">
        <v>987</v>
      </c>
      <c r="M10" s="9" t="s">
        <v>998</v>
      </c>
      <c r="N10" s="8">
        <v>1</v>
      </c>
      <c r="O10" s="8">
        <v>264</v>
      </c>
      <c r="P10" s="8">
        <v>2</v>
      </c>
      <c r="Q10" s="8" t="str">
        <f>VLOOKUP(patient[[#This Row],[ID_mutuelle]],mutuelle[],2,FALSE)</f>
        <v>UNION DES MUTUELLES DE LA REUNION</v>
      </c>
    </row>
    <row r="11" spans="1:17" x14ac:dyDescent="0.3">
      <c r="A11" s="8">
        <v>341</v>
      </c>
      <c r="B11" s="9" t="s">
        <v>1020</v>
      </c>
      <c r="C11" s="9" t="s">
        <v>1021</v>
      </c>
      <c r="D11" s="9" t="s">
        <v>1022</v>
      </c>
      <c r="E11" s="8">
        <v>75850</v>
      </c>
      <c r="F11" s="9" t="s">
        <v>274</v>
      </c>
      <c r="G11" s="9" t="s">
        <v>1023</v>
      </c>
      <c r="H11" s="8">
        <v>664835379</v>
      </c>
      <c r="I11" s="8">
        <v>100</v>
      </c>
      <c r="J11" s="8">
        <v>75</v>
      </c>
      <c r="K11" s="8">
        <v>213</v>
      </c>
      <c r="L11" s="9" t="s">
        <v>982</v>
      </c>
      <c r="M11" s="9" t="s">
        <v>993</v>
      </c>
      <c r="N11" s="8">
        <v>1</v>
      </c>
      <c r="O11" s="8">
        <v>123</v>
      </c>
      <c r="P11" s="8">
        <v>3</v>
      </c>
      <c r="Q11" s="8" t="str">
        <f>VLOOKUP(patient[[#This Row],[ID_mutuelle]],mutuelle[],2,FALSE)</f>
        <v>MUTUELLE DES ELUS LOCAUX</v>
      </c>
    </row>
    <row r="12" spans="1:17" x14ac:dyDescent="0.3">
      <c r="A12" s="8">
        <v>342</v>
      </c>
      <c r="B12" s="9" t="s">
        <v>1024</v>
      </c>
      <c r="C12" s="9" t="s">
        <v>1025</v>
      </c>
      <c r="D12" s="9" t="s">
        <v>1026</v>
      </c>
      <c r="E12" s="8">
        <v>94568</v>
      </c>
      <c r="F12" s="9" t="s">
        <v>129</v>
      </c>
      <c r="G12" s="9" t="s">
        <v>1027</v>
      </c>
      <c r="H12" s="8">
        <v>636194615</v>
      </c>
      <c r="I12" s="8">
        <v>39</v>
      </c>
      <c r="J12" s="8">
        <v>91</v>
      </c>
      <c r="K12" s="8">
        <v>228</v>
      </c>
      <c r="L12" s="9" t="s">
        <v>987</v>
      </c>
      <c r="M12" s="9" t="s">
        <v>993</v>
      </c>
      <c r="N12" s="8">
        <v>1</v>
      </c>
      <c r="O12" s="8">
        <v>157</v>
      </c>
      <c r="P12" s="8">
        <v>3</v>
      </c>
      <c r="Q12" s="8" t="str">
        <f>VLOOKUP(patient[[#This Row],[ID_mutuelle]],mutuelle[],2,FALSE)</f>
        <v>MUTUELLE DU PERSONNEL DES COLLECTIVITES TERRITORIALE DE LA REUNION</v>
      </c>
    </row>
    <row r="13" spans="1:17" x14ac:dyDescent="0.3">
      <c r="A13" s="8">
        <v>343</v>
      </c>
      <c r="B13" s="9" t="s">
        <v>1028</v>
      </c>
      <c r="C13" s="9" t="s">
        <v>1029</v>
      </c>
      <c r="D13" s="9" t="s">
        <v>1030</v>
      </c>
      <c r="E13" s="8">
        <v>75228</v>
      </c>
      <c r="F13" s="9" t="s">
        <v>340</v>
      </c>
      <c r="G13" s="9" t="s">
        <v>1031</v>
      </c>
      <c r="H13" s="8">
        <v>622558516</v>
      </c>
      <c r="I13" s="8">
        <v>7</v>
      </c>
      <c r="J13" s="8">
        <v>150</v>
      </c>
      <c r="K13" s="8">
        <v>120</v>
      </c>
      <c r="L13" s="9" t="s">
        <v>982</v>
      </c>
      <c r="M13" s="9" t="s">
        <v>1032</v>
      </c>
      <c r="N13" s="8">
        <v>1</v>
      </c>
      <c r="O13" s="8">
        <v>227</v>
      </c>
      <c r="P13" s="8">
        <v>1</v>
      </c>
      <c r="Q13" s="8" t="str">
        <f>VLOOKUP(patient[[#This Row],[ID_mutuelle]],mutuelle[],2,FALSE)</f>
        <v>MUTUELLE SMH</v>
      </c>
    </row>
    <row r="14" spans="1:17" x14ac:dyDescent="0.3">
      <c r="A14" s="8">
        <v>344</v>
      </c>
      <c r="B14" s="9" t="s">
        <v>1033</v>
      </c>
      <c r="C14" s="9" t="s">
        <v>1034</v>
      </c>
      <c r="D14" s="9" t="s">
        <v>1035</v>
      </c>
      <c r="E14" s="8">
        <v>94999</v>
      </c>
      <c r="F14" s="9" t="s">
        <v>189</v>
      </c>
      <c r="G14" s="9" t="s">
        <v>1036</v>
      </c>
      <c r="H14" s="8">
        <v>636888241</v>
      </c>
      <c r="I14" s="8">
        <v>73</v>
      </c>
      <c r="J14" s="8">
        <v>72</v>
      </c>
      <c r="K14" s="8">
        <v>139</v>
      </c>
      <c r="L14" s="9" t="s">
        <v>982</v>
      </c>
      <c r="M14" s="9" t="s">
        <v>988</v>
      </c>
      <c r="N14" s="8">
        <v>0</v>
      </c>
      <c r="O14" s="8">
        <v>153</v>
      </c>
      <c r="P14" s="8">
        <v>3</v>
      </c>
      <c r="Q14" s="8" t="str">
        <f>VLOOKUP(patient[[#This Row],[ID_mutuelle]],mutuelle[],2,FALSE)</f>
        <v>MUTUELLE DU MINISTERE DE LA JUSTICE</v>
      </c>
    </row>
    <row r="15" spans="1:17" x14ac:dyDescent="0.3">
      <c r="A15" s="8">
        <v>345</v>
      </c>
      <c r="B15" s="9" t="s">
        <v>1037</v>
      </c>
      <c r="C15" s="9" t="s">
        <v>1038</v>
      </c>
      <c r="D15" s="9" t="s">
        <v>1039</v>
      </c>
      <c r="E15" s="8">
        <v>78130</v>
      </c>
      <c r="F15" s="9" t="s">
        <v>582</v>
      </c>
      <c r="G15" s="9" t="s">
        <v>1040</v>
      </c>
      <c r="H15" s="8">
        <v>644971134</v>
      </c>
      <c r="I15" s="8">
        <v>63</v>
      </c>
      <c r="J15" s="8">
        <v>27</v>
      </c>
      <c r="K15" s="8">
        <v>108</v>
      </c>
      <c r="L15" s="9" t="s">
        <v>982</v>
      </c>
      <c r="M15" s="9" t="s">
        <v>998</v>
      </c>
      <c r="N15" s="8">
        <v>1</v>
      </c>
      <c r="O15" s="8">
        <v>179</v>
      </c>
      <c r="P15" s="8">
        <v>2</v>
      </c>
      <c r="Q15" s="8" t="str">
        <f>VLOOKUP(patient[[#This Row],[ID_mutuelle]],mutuelle[],2,FALSE)</f>
        <v>MUTUELLE GENERALE DE PREVOYANCE ET D'ASSISTANCE</v>
      </c>
    </row>
    <row r="16" spans="1:17" x14ac:dyDescent="0.3">
      <c r="A16" s="8">
        <v>346</v>
      </c>
      <c r="B16" s="9" t="s">
        <v>1041</v>
      </c>
      <c r="C16" s="9" t="s">
        <v>1042</v>
      </c>
      <c r="D16" s="9" t="s">
        <v>1043</v>
      </c>
      <c r="E16" s="8">
        <v>94646</v>
      </c>
      <c r="F16" s="9" t="s">
        <v>25</v>
      </c>
      <c r="G16" s="9" t="s">
        <v>1044</v>
      </c>
      <c r="H16" s="8">
        <v>645326326</v>
      </c>
      <c r="I16" s="8">
        <v>98</v>
      </c>
      <c r="J16" s="8">
        <v>74</v>
      </c>
      <c r="K16" s="8">
        <v>203</v>
      </c>
      <c r="L16" s="9" t="s">
        <v>982</v>
      </c>
      <c r="M16" s="9" t="s">
        <v>1045</v>
      </c>
      <c r="N16" s="8">
        <v>1</v>
      </c>
      <c r="O16" s="8">
        <v>34</v>
      </c>
      <c r="P16" s="8">
        <v>2</v>
      </c>
      <c r="Q16" s="8" t="str">
        <f>VLOOKUP(patient[[#This Row],[ID_mutuelle]],mutuelle[],2,FALSE)</f>
        <v>LA FRATERNELLE DES TERRITORIAUX</v>
      </c>
    </row>
    <row r="17" spans="1:17" x14ac:dyDescent="0.3">
      <c r="A17" s="8">
        <v>347</v>
      </c>
      <c r="B17" s="9" t="s">
        <v>186</v>
      </c>
      <c r="C17" s="9" t="s">
        <v>1046</v>
      </c>
      <c r="D17" s="9" t="s">
        <v>1047</v>
      </c>
      <c r="E17" s="8">
        <v>91776</v>
      </c>
      <c r="F17" s="9" t="s">
        <v>58</v>
      </c>
      <c r="G17" s="9" t="s">
        <v>1048</v>
      </c>
      <c r="H17" s="8">
        <v>662368781</v>
      </c>
      <c r="I17" s="8">
        <v>63</v>
      </c>
      <c r="J17" s="8">
        <v>66</v>
      </c>
      <c r="K17" s="8">
        <v>103</v>
      </c>
      <c r="L17" s="9" t="s">
        <v>982</v>
      </c>
      <c r="M17" s="9" t="s">
        <v>993</v>
      </c>
      <c r="N17" s="8">
        <v>1</v>
      </c>
      <c r="O17" s="8">
        <v>89</v>
      </c>
      <c r="P17" s="8">
        <v>3</v>
      </c>
      <c r="Q17" s="8" t="str">
        <f>VLOOKUP(patient[[#This Row],[ID_mutuelle]],mutuelle[],2,FALSE)</f>
        <v>MUTUELLE D'ENTREPRISE UGINE GUEUGNON &amp; ALZ</v>
      </c>
    </row>
    <row r="18" spans="1:17" x14ac:dyDescent="0.3">
      <c r="A18" s="8">
        <v>348</v>
      </c>
      <c r="B18" s="9" t="s">
        <v>1049</v>
      </c>
      <c r="C18" s="9" t="s">
        <v>1050</v>
      </c>
      <c r="D18" s="9" t="s">
        <v>1051</v>
      </c>
      <c r="E18" s="8">
        <v>95262</v>
      </c>
      <c r="F18" s="9" t="s">
        <v>32</v>
      </c>
      <c r="G18" s="9" t="s">
        <v>1052</v>
      </c>
      <c r="H18" s="8">
        <v>676958861</v>
      </c>
      <c r="I18" s="8">
        <v>65</v>
      </c>
      <c r="J18" s="8">
        <v>105</v>
      </c>
      <c r="K18" s="8">
        <v>157</v>
      </c>
      <c r="L18" s="9" t="s">
        <v>987</v>
      </c>
      <c r="M18" s="9" t="s">
        <v>983</v>
      </c>
      <c r="N18" s="8">
        <v>0</v>
      </c>
      <c r="O18" s="8">
        <v>168</v>
      </c>
      <c r="P18" s="8">
        <v>2</v>
      </c>
      <c r="Q18" s="8" t="str">
        <f>VLOOKUP(patient[[#This Row],[ID_mutuelle]],mutuelle[],2,FALSE)</f>
        <v>MUTUELLE ENTRENOUS</v>
      </c>
    </row>
    <row r="19" spans="1:17" x14ac:dyDescent="0.3">
      <c r="A19" s="8">
        <v>349</v>
      </c>
      <c r="B19" s="9" t="s">
        <v>1053</v>
      </c>
      <c r="C19" s="9" t="s">
        <v>1054</v>
      </c>
      <c r="D19" s="9" t="s">
        <v>1055</v>
      </c>
      <c r="E19" s="8">
        <v>94231</v>
      </c>
      <c r="F19" s="9" t="s">
        <v>208</v>
      </c>
      <c r="G19" s="9" t="s">
        <v>1056</v>
      </c>
      <c r="H19" s="8">
        <v>631277799</v>
      </c>
      <c r="I19" s="8">
        <v>42</v>
      </c>
      <c r="J19" s="8">
        <v>90</v>
      </c>
      <c r="K19" s="8">
        <v>226</v>
      </c>
      <c r="L19" s="9" t="s">
        <v>987</v>
      </c>
      <c r="M19" s="9" t="s">
        <v>993</v>
      </c>
      <c r="N19" s="8">
        <v>0</v>
      </c>
      <c r="O19" s="8">
        <v>215</v>
      </c>
      <c r="P19" s="8">
        <v>3</v>
      </c>
      <c r="Q19" s="8" t="str">
        <f>VLOOKUP(patient[[#This Row],[ID_mutuelle]],mutuelle[],2,FALSE)</f>
        <v>MUTUELLE NATIONALE DU PERSONNEL DES ETABLISSEMENTS MICHELIN</v>
      </c>
    </row>
    <row r="20" spans="1:17" x14ac:dyDescent="0.3">
      <c r="A20" s="8">
        <v>350</v>
      </c>
      <c r="B20" s="9" t="s">
        <v>1057</v>
      </c>
      <c r="C20" s="9" t="s">
        <v>1058</v>
      </c>
      <c r="D20" s="9" t="s">
        <v>1059</v>
      </c>
      <c r="E20" s="8">
        <v>93743</v>
      </c>
      <c r="F20" s="9" t="s">
        <v>340</v>
      </c>
      <c r="G20" s="9" t="s">
        <v>1060</v>
      </c>
      <c r="H20" s="8">
        <v>646293786</v>
      </c>
      <c r="I20" s="8">
        <v>8</v>
      </c>
      <c r="J20" s="8">
        <v>53</v>
      </c>
      <c r="K20" s="8">
        <v>214</v>
      </c>
      <c r="L20" s="9" t="s">
        <v>987</v>
      </c>
      <c r="M20" s="9" t="s">
        <v>1015</v>
      </c>
      <c r="N20" s="8">
        <v>1</v>
      </c>
      <c r="O20" s="8">
        <v>142</v>
      </c>
      <c r="P20" s="8">
        <v>1</v>
      </c>
      <c r="Q20" s="8" t="str">
        <f>VLOOKUP(patient[[#This Row],[ID_mutuelle]],mutuelle[],2,FALSE)</f>
        <v>MUTUELLE DES SPORTIFS</v>
      </c>
    </row>
    <row r="21" spans="1:17" x14ac:dyDescent="0.3">
      <c r="A21" s="8">
        <v>351</v>
      </c>
      <c r="B21" s="9" t="s">
        <v>1061</v>
      </c>
      <c r="C21" s="9" t="s">
        <v>1062</v>
      </c>
      <c r="D21" s="9" t="s">
        <v>1063</v>
      </c>
      <c r="E21" s="8">
        <v>91855</v>
      </c>
      <c r="F21" s="9" t="s">
        <v>32</v>
      </c>
      <c r="G21" s="9" t="s">
        <v>1064</v>
      </c>
      <c r="H21" s="8">
        <v>684525240</v>
      </c>
      <c r="I21" s="8">
        <v>34</v>
      </c>
      <c r="J21" s="8">
        <v>130</v>
      </c>
      <c r="K21" s="8">
        <v>166</v>
      </c>
      <c r="L21" s="9" t="s">
        <v>987</v>
      </c>
      <c r="M21" s="9" t="s">
        <v>988</v>
      </c>
      <c r="N21" s="8">
        <v>0</v>
      </c>
      <c r="O21" s="8">
        <v>239</v>
      </c>
      <c r="P21" s="8">
        <v>3</v>
      </c>
      <c r="Q21" s="8" t="str">
        <f>VLOOKUP(patient[[#This Row],[ID_mutuelle]],mutuelle[],2,FALSE)</f>
        <v>OCEANE SANTE - SAINTE PHILOMENE</v>
      </c>
    </row>
    <row r="22" spans="1:17" x14ac:dyDescent="0.3">
      <c r="A22" s="8">
        <v>352</v>
      </c>
      <c r="B22" s="9" t="s">
        <v>1065</v>
      </c>
      <c r="C22" s="9" t="s">
        <v>1066</v>
      </c>
      <c r="D22" s="9" t="s">
        <v>1067</v>
      </c>
      <c r="E22" s="8">
        <v>92112</v>
      </c>
      <c r="F22" s="9" t="s">
        <v>25</v>
      </c>
      <c r="G22" s="9" t="s">
        <v>1068</v>
      </c>
      <c r="H22" s="8">
        <v>618758330</v>
      </c>
      <c r="I22" s="8">
        <v>26</v>
      </c>
      <c r="J22" s="8">
        <v>109</v>
      </c>
      <c r="K22" s="8">
        <v>182</v>
      </c>
      <c r="L22" s="9" t="s">
        <v>987</v>
      </c>
      <c r="M22" s="9" t="s">
        <v>1015</v>
      </c>
      <c r="N22" s="8">
        <v>1</v>
      </c>
      <c r="O22" s="8">
        <v>180</v>
      </c>
      <c r="P22" s="8">
        <v>2</v>
      </c>
      <c r="Q22" s="8" t="str">
        <f>VLOOKUP(patient[[#This Row],[ID_mutuelle]],mutuelle[],2,FALSE)</f>
        <v>MUTUELLE GENERALE DE PREVOYANCE SOCIALE</v>
      </c>
    </row>
    <row r="23" spans="1:17" x14ac:dyDescent="0.3">
      <c r="A23" s="8">
        <v>353</v>
      </c>
      <c r="B23" s="9" t="s">
        <v>1069</v>
      </c>
      <c r="C23" s="9" t="s">
        <v>1070</v>
      </c>
      <c r="D23" s="9" t="s">
        <v>1071</v>
      </c>
      <c r="E23" s="8">
        <v>93366</v>
      </c>
      <c r="F23" s="9" t="s">
        <v>257</v>
      </c>
      <c r="G23" s="9" t="s">
        <v>1072</v>
      </c>
      <c r="H23" s="8">
        <v>682556183</v>
      </c>
      <c r="I23" s="8">
        <v>45</v>
      </c>
      <c r="J23" s="8">
        <v>64</v>
      </c>
      <c r="K23" s="8">
        <v>131</v>
      </c>
      <c r="L23" s="9" t="s">
        <v>982</v>
      </c>
      <c r="M23" s="9" t="s">
        <v>988</v>
      </c>
      <c r="N23" s="8">
        <v>1</v>
      </c>
      <c r="O23" s="8">
        <v>12</v>
      </c>
      <c r="P23" s="8">
        <v>1</v>
      </c>
      <c r="Q23" s="8" t="str">
        <f>VLOOKUP(patient[[#This Row],[ID_mutuelle]],mutuelle[],2,FALSE)</f>
        <v>BANQUE POPULAIRE MUTUALITE</v>
      </c>
    </row>
    <row r="24" spans="1:17" x14ac:dyDescent="0.3">
      <c r="A24" s="8">
        <v>354</v>
      </c>
      <c r="B24" s="9" t="s">
        <v>1073</v>
      </c>
      <c r="C24" s="9" t="s">
        <v>1074</v>
      </c>
      <c r="D24" s="9" t="s">
        <v>1075</v>
      </c>
      <c r="E24" s="8">
        <v>95720</v>
      </c>
      <c r="F24" s="9" t="s">
        <v>39</v>
      </c>
      <c r="G24" s="9" t="s">
        <v>1076</v>
      </c>
      <c r="H24" s="8">
        <v>646196959</v>
      </c>
      <c r="I24" s="8">
        <v>39</v>
      </c>
      <c r="J24" s="8">
        <v>39</v>
      </c>
      <c r="K24" s="8">
        <v>207</v>
      </c>
      <c r="L24" s="9" t="s">
        <v>982</v>
      </c>
      <c r="M24" s="9" t="s">
        <v>1077</v>
      </c>
      <c r="N24" s="8">
        <v>0</v>
      </c>
      <c r="O24" s="8">
        <v>270</v>
      </c>
      <c r="P24" s="8">
        <v>1</v>
      </c>
      <c r="Q24" s="8" t="str">
        <f>VLOOKUP(patient[[#This Row],[ID_mutuelle]],mutuelle[],2,FALSE)</f>
        <v>UNION NATIONALE DES MUTUELLES D'ENTREPRISE - GARANTIE</v>
      </c>
    </row>
    <row r="25" spans="1:17" x14ac:dyDescent="0.3">
      <c r="A25" s="8">
        <v>355</v>
      </c>
      <c r="B25" s="9" t="s">
        <v>1078</v>
      </c>
      <c r="C25" s="9" t="s">
        <v>479</v>
      </c>
      <c r="D25" s="9" t="s">
        <v>1079</v>
      </c>
      <c r="E25" s="8">
        <v>91469</v>
      </c>
      <c r="F25" s="9" t="s">
        <v>109</v>
      </c>
      <c r="G25" s="9" t="s">
        <v>1080</v>
      </c>
      <c r="H25" s="8">
        <v>669461859</v>
      </c>
      <c r="I25" s="8">
        <v>6</v>
      </c>
      <c r="J25" s="8">
        <v>30</v>
      </c>
      <c r="K25" s="8">
        <v>118</v>
      </c>
      <c r="L25" s="9" t="s">
        <v>987</v>
      </c>
      <c r="M25" s="9" t="s">
        <v>1077</v>
      </c>
      <c r="N25" s="8">
        <v>1</v>
      </c>
      <c r="O25" s="8">
        <v>234</v>
      </c>
      <c r="P25" s="8">
        <v>1</v>
      </c>
      <c r="Q25" s="8" t="str">
        <f>VLOOKUP(patient[[#This Row],[ID_mutuelle]],mutuelle[],2,FALSE)</f>
        <v>MUTUELLE VIASANTE</v>
      </c>
    </row>
    <row r="26" spans="1:17" x14ac:dyDescent="0.3">
      <c r="A26" s="8">
        <v>356</v>
      </c>
      <c r="B26" s="9" t="s">
        <v>535</v>
      </c>
      <c r="C26" s="9" t="s">
        <v>1081</v>
      </c>
      <c r="D26" s="9" t="s">
        <v>1082</v>
      </c>
      <c r="E26" s="8">
        <v>91606</v>
      </c>
      <c r="F26" s="9" t="s">
        <v>25</v>
      </c>
      <c r="G26" s="9" t="s">
        <v>1083</v>
      </c>
      <c r="H26" s="8">
        <v>612444802</v>
      </c>
      <c r="I26" s="8">
        <v>34</v>
      </c>
      <c r="J26" s="8">
        <v>25</v>
      </c>
      <c r="K26" s="8">
        <v>102</v>
      </c>
      <c r="L26" s="9" t="s">
        <v>987</v>
      </c>
      <c r="M26" s="9" t="s">
        <v>993</v>
      </c>
      <c r="N26" s="8">
        <v>0</v>
      </c>
      <c r="O26" s="8">
        <v>165</v>
      </c>
      <c r="P26" s="8">
        <v>3</v>
      </c>
      <c r="Q26" s="8" t="str">
        <f>VLOOKUP(patient[[#This Row],[ID_mutuelle]],mutuelle[],2,FALSE)</f>
        <v>MUTUELLE DU TELEGRAMME</v>
      </c>
    </row>
    <row r="27" spans="1:17" x14ac:dyDescent="0.3">
      <c r="A27" s="8">
        <v>357</v>
      </c>
      <c r="B27" s="9" t="s">
        <v>1084</v>
      </c>
      <c r="C27" s="9" t="s">
        <v>1085</v>
      </c>
      <c r="D27" s="9" t="s">
        <v>1086</v>
      </c>
      <c r="E27" s="8">
        <v>93304</v>
      </c>
      <c r="F27" s="9" t="s">
        <v>213</v>
      </c>
      <c r="G27" s="9" t="s">
        <v>1087</v>
      </c>
      <c r="H27" s="8">
        <v>660268391</v>
      </c>
      <c r="I27" s="8">
        <v>61</v>
      </c>
      <c r="J27" s="8">
        <v>35</v>
      </c>
      <c r="K27" s="8">
        <v>102</v>
      </c>
      <c r="L27" s="9" t="s">
        <v>982</v>
      </c>
      <c r="M27" s="9" t="s">
        <v>1032</v>
      </c>
      <c r="N27" s="8">
        <v>1</v>
      </c>
      <c r="O27" s="8">
        <v>192</v>
      </c>
      <c r="P27" s="8">
        <v>3</v>
      </c>
      <c r="Q27" s="8" t="str">
        <f>VLOOKUP(patient[[#This Row],[ID_mutuelle]],mutuelle[],2,FALSE)</f>
        <v>MUTUELLE INTERPROFESSIONNELLE ANTILLES GUYANE (MIAG)</v>
      </c>
    </row>
    <row r="28" spans="1:17" x14ac:dyDescent="0.3">
      <c r="A28" s="8">
        <v>358</v>
      </c>
      <c r="B28" s="9" t="s">
        <v>1088</v>
      </c>
      <c r="C28" s="9" t="s">
        <v>1089</v>
      </c>
      <c r="D28" s="9" t="s">
        <v>1090</v>
      </c>
      <c r="E28" s="8">
        <v>92943</v>
      </c>
      <c r="F28" s="9" t="s">
        <v>52</v>
      </c>
      <c r="G28" s="9" t="s">
        <v>1091</v>
      </c>
      <c r="H28" s="8">
        <v>671486749</v>
      </c>
      <c r="I28" s="8">
        <v>33</v>
      </c>
      <c r="J28" s="8">
        <v>118</v>
      </c>
      <c r="K28" s="8">
        <v>193</v>
      </c>
      <c r="L28" s="9" t="s">
        <v>982</v>
      </c>
      <c r="M28" s="9" t="s">
        <v>988</v>
      </c>
      <c r="N28" s="8">
        <v>1</v>
      </c>
      <c r="O28" s="8">
        <v>129</v>
      </c>
      <c r="P28" s="8">
        <v>2</v>
      </c>
      <c r="Q28" s="8" t="str">
        <f>VLOOKUP(patient[[#This Row],[ID_mutuelle]],mutuelle[],2,FALSE)</f>
        <v>MUTUELLE DES HOSPITALIERS</v>
      </c>
    </row>
    <row r="29" spans="1:17" x14ac:dyDescent="0.3">
      <c r="A29" s="8">
        <v>359</v>
      </c>
      <c r="B29" s="9" t="s">
        <v>1092</v>
      </c>
      <c r="C29" s="9" t="s">
        <v>1093</v>
      </c>
      <c r="D29" s="9" t="s">
        <v>1094</v>
      </c>
      <c r="E29" s="8">
        <v>91461</v>
      </c>
      <c r="F29" s="9" t="s">
        <v>213</v>
      </c>
      <c r="G29" s="9" t="s">
        <v>1095</v>
      </c>
      <c r="H29" s="8">
        <v>630460905</v>
      </c>
      <c r="I29" s="8">
        <v>19</v>
      </c>
      <c r="J29" s="8">
        <v>69</v>
      </c>
      <c r="K29" s="8">
        <v>165</v>
      </c>
      <c r="L29" s="9" t="s">
        <v>987</v>
      </c>
      <c r="M29" s="9" t="s">
        <v>988</v>
      </c>
      <c r="N29" s="8">
        <v>1</v>
      </c>
      <c r="O29" s="8">
        <v>85</v>
      </c>
      <c r="P29" s="8">
        <v>1</v>
      </c>
      <c r="Q29" s="8" t="str">
        <f>VLOOKUP(patient[[#This Row],[ID_mutuelle]],mutuelle[],2,FALSE)</f>
        <v>MUTUELLE D'ASSURANCE DU PERSONNEL EXTERIEUR SALARIES DU GROUPE AXA</v>
      </c>
    </row>
    <row r="30" spans="1:17" x14ac:dyDescent="0.3">
      <c r="A30" s="8">
        <v>360</v>
      </c>
      <c r="B30" s="9" t="s">
        <v>1096</v>
      </c>
      <c r="C30" s="9" t="s">
        <v>1097</v>
      </c>
      <c r="D30" s="9" t="s">
        <v>1098</v>
      </c>
      <c r="E30" s="8">
        <v>92413</v>
      </c>
      <c r="F30" s="9" t="s">
        <v>77</v>
      </c>
      <c r="G30" s="9" t="s">
        <v>1099</v>
      </c>
      <c r="H30" s="8">
        <v>624187780</v>
      </c>
      <c r="I30" s="8">
        <v>68</v>
      </c>
      <c r="J30" s="8">
        <v>150</v>
      </c>
      <c r="K30" s="8">
        <v>168</v>
      </c>
      <c r="L30" s="9" t="s">
        <v>987</v>
      </c>
      <c r="M30" s="9" t="s">
        <v>993</v>
      </c>
      <c r="N30" s="8">
        <v>0</v>
      </c>
      <c r="O30" s="8">
        <v>234</v>
      </c>
      <c r="P30" s="8">
        <v>2</v>
      </c>
      <c r="Q30" s="8" t="str">
        <f>VLOOKUP(patient[[#This Row],[ID_mutuelle]],mutuelle[],2,FALSE)</f>
        <v>MUTUELLE VIASANTE</v>
      </c>
    </row>
    <row r="31" spans="1:17" x14ac:dyDescent="0.3">
      <c r="A31" s="8">
        <v>361</v>
      </c>
      <c r="B31" s="9" t="s">
        <v>1100</v>
      </c>
      <c r="C31" s="9" t="s">
        <v>1101</v>
      </c>
      <c r="D31" s="9" t="s">
        <v>1102</v>
      </c>
      <c r="E31" s="8">
        <v>78474</v>
      </c>
      <c r="F31" s="9" t="s">
        <v>32</v>
      </c>
      <c r="G31" s="9" t="s">
        <v>1103</v>
      </c>
      <c r="H31" s="8">
        <v>661403112</v>
      </c>
      <c r="I31" s="8">
        <v>64</v>
      </c>
      <c r="J31" s="8">
        <v>36</v>
      </c>
      <c r="K31" s="8">
        <v>199</v>
      </c>
      <c r="L31" s="9" t="s">
        <v>982</v>
      </c>
      <c r="M31" s="9" t="s">
        <v>1077</v>
      </c>
      <c r="N31" s="8">
        <v>1</v>
      </c>
      <c r="O31" s="8">
        <v>235</v>
      </c>
      <c r="P31" s="8">
        <v>1</v>
      </c>
      <c r="Q31" s="8" t="str">
        <f>VLOOKUP(patient[[#This Row],[ID_mutuelle]],mutuelle[],2,FALSE)</f>
        <v>MUTUELLES DE LORRAINE</v>
      </c>
    </row>
    <row r="32" spans="1:17" x14ac:dyDescent="0.3">
      <c r="A32" s="8">
        <v>362</v>
      </c>
      <c r="B32" s="9" t="s">
        <v>1104</v>
      </c>
      <c r="C32" s="9" t="s">
        <v>1105</v>
      </c>
      <c r="D32" s="9" t="s">
        <v>1106</v>
      </c>
      <c r="E32" s="8">
        <v>92557</v>
      </c>
      <c r="F32" s="9" t="s">
        <v>194</v>
      </c>
      <c r="G32" s="9" t="s">
        <v>1107</v>
      </c>
      <c r="H32" s="8">
        <v>682755740</v>
      </c>
      <c r="I32" s="8">
        <v>45</v>
      </c>
      <c r="J32" s="8">
        <v>103</v>
      </c>
      <c r="K32" s="8">
        <v>117</v>
      </c>
      <c r="L32" s="9" t="s">
        <v>987</v>
      </c>
      <c r="M32" s="9" t="s">
        <v>993</v>
      </c>
      <c r="N32" s="8">
        <v>0</v>
      </c>
      <c r="O32" s="8">
        <v>186</v>
      </c>
      <c r="P32" s="8">
        <v>3</v>
      </c>
      <c r="Q32" s="8" t="str">
        <f>VLOOKUP(patient[[#This Row],[ID_mutuelle]],mutuelle[],2,FALSE)</f>
        <v>MUTUELLE GEODIS</v>
      </c>
    </row>
    <row r="33" spans="1:17" x14ac:dyDescent="0.3">
      <c r="A33" s="8">
        <v>363</v>
      </c>
      <c r="B33" s="9" t="s">
        <v>1108</v>
      </c>
      <c r="C33" s="9" t="s">
        <v>1109</v>
      </c>
      <c r="D33" s="9" t="s">
        <v>1110</v>
      </c>
      <c r="E33" s="8">
        <v>93429</v>
      </c>
      <c r="F33" s="9" t="s">
        <v>368</v>
      </c>
      <c r="G33" s="9" t="s">
        <v>1111</v>
      </c>
      <c r="H33" s="8">
        <v>625785822</v>
      </c>
      <c r="I33" s="8">
        <v>102</v>
      </c>
      <c r="J33" s="8">
        <v>34</v>
      </c>
      <c r="K33" s="8">
        <v>227</v>
      </c>
      <c r="L33" s="9" t="s">
        <v>987</v>
      </c>
      <c r="M33" s="9" t="s">
        <v>1015</v>
      </c>
      <c r="N33" s="8">
        <v>0</v>
      </c>
      <c r="O33" s="8">
        <v>97</v>
      </c>
      <c r="P33" s="8">
        <v>1</v>
      </c>
      <c r="Q33" s="8" t="str">
        <f>VLOOKUP(patient[[#This Row],[ID_mutuelle]],mutuelle[],2,FALSE)</f>
        <v>MUTUELLE DE FRANCE DU LACYDON</v>
      </c>
    </row>
    <row r="34" spans="1:17" x14ac:dyDescent="0.3">
      <c r="A34" s="8">
        <v>364</v>
      </c>
      <c r="B34" s="9" t="s">
        <v>1112</v>
      </c>
      <c r="C34" s="9" t="s">
        <v>1113</v>
      </c>
      <c r="D34" s="9" t="s">
        <v>1114</v>
      </c>
      <c r="E34" s="8">
        <v>95981</v>
      </c>
      <c r="F34" s="9" t="s">
        <v>65</v>
      </c>
      <c r="G34" s="9" t="s">
        <v>1115</v>
      </c>
      <c r="H34" s="8">
        <v>672030966</v>
      </c>
      <c r="I34" s="8">
        <v>26</v>
      </c>
      <c r="J34" s="8">
        <v>5</v>
      </c>
      <c r="K34" s="8">
        <v>205</v>
      </c>
      <c r="L34" s="9" t="s">
        <v>982</v>
      </c>
      <c r="M34" s="9" t="s">
        <v>993</v>
      </c>
      <c r="N34" s="8">
        <v>0</v>
      </c>
      <c r="O34" s="8">
        <v>273</v>
      </c>
      <c r="P34" s="8">
        <v>2</v>
      </c>
      <c r="Q34" s="8" t="str">
        <f>VLOOKUP(patient[[#This Row],[ID_mutuelle]],mutuelle[],2,FALSE)</f>
        <v>UNMI'MUT</v>
      </c>
    </row>
    <row r="35" spans="1:17" x14ac:dyDescent="0.3">
      <c r="A35" s="8">
        <v>365</v>
      </c>
      <c r="B35" s="9" t="s">
        <v>1116</v>
      </c>
      <c r="C35" s="9" t="s">
        <v>1117</v>
      </c>
      <c r="D35" s="9" t="s">
        <v>1118</v>
      </c>
      <c r="E35" s="8">
        <v>78849</v>
      </c>
      <c r="F35" s="9" t="s">
        <v>269</v>
      </c>
      <c r="G35" s="9" t="s">
        <v>1119</v>
      </c>
      <c r="H35" s="8">
        <v>672371070</v>
      </c>
      <c r="I35" s="8">
        <v>45</v>
      </c>
      <c r="J35" s="8">
        <v>91</v>
      </c>
      <c r="K35" s="8">
        <v>139</v>
      </c>
      <c r="L35" s="9" t="s">
        <v>987</v>
      </c>
      <c r="M35" s="9" t="s">
        <v>993</v>
      </c>
      <c r="N35" s="8">
        <v>1</v>
      </c>
      <c r="O35" s="8">
        <v>266</v>
      </c>
      <c r="P35" s="8">
        <v>3</v>
      </c>
      <c r="Q35" s="8" t="str">
        <f>VLOOKUP(patient[[#This Row],[ID_mutuelle]],mutuelle[],2,FALSE)</f>
        <v>UNION MUTUALISTE DE PREVOYANCE</v>
      </c>
    </row>
    <row r="36" spans="1:17" x14ac:dyDescent="0.3">
      <c r="A36" s="8">
        <v>366</v>
      </c>
      <c r="B36" s="9" t="s">
        <v>1120</v>
      </c>
      <c r="C36" s="9" t="s">
        <v>166</v>
      </c>
      <c r="D36" s="9" t="s">
        <v>1121</v>
      </c>
      <c r="E36" s="8">
        <v>92659</v>
      </c>
      <c r="F36" s="9" t="s">
        <v>194</v>
      </c>
      <c r="G36" s="9" t="s">
        <v>1122</v>
      </c>
      <c r="H36" s="8">
        <v>615155990</v>
      </c>
      <c r="I36" s="8">
        <v>23</v>
      </c>
      <c r="J36" s="8">
        <v>119</v>
      </c>
      <c r="K36" s="8">
        <v>97</v>
      </c>
      <c r="L36" s="9" t="s">
        <v>982</v>
      </c>
      <c r="M36" s="9" t="s">
        <v>993</v>
      </c>
      <c r="N36" s="8">
        <v>1</v>
      </c>
      <c r="O36" s="8">
        <v>94</v>
      </c>
      <c r="P36" s="8">
        <v>3</v>
      </c>
      <c r="Q36" s="8" t="str">
        <f>VLOOKUP(patient[[#This Row],[ID_mutuelle]],mutuelle[],2,FALSE)</f>
        <v>MUTUELLE DE BAGNEAUX</v>
      </c>
    </row>
    <row r="37" spans="1:17" x14ac:dyDescent="0.3">
      <c r="A37" s="8">
        <v>367</v>
      </c>
      <c r="B37" s="9" t="s">
        <v>1123</v>
      </c>
      <c r="C37" s="9" t="s">
        <v>1124</v>
      </c>
      <c r="D37" s="9" t="s">
        <v>1125</v>
      </c>
      <c r="E37" s="8">
        <v>91797</v>
      </c>
      <c r="F37" s="9" t="s">
        <v>208</v>
      </c>
      <c r="G37" s="9" t="s">
        <v>1126</v>
      </c>
      <c r="H37" s="8">
        <v>647732380</v>
      </c>
      <c r="I37" s="8">
        <v>76</v>
      </c>
      <c r="J37" s="8">
        <v>69</v>
      </c>
      <c r="K37" s="8">
        <v>140</v>
      </c>
      <c r="L37" s="9" t="s">
        <v>987</v>
      </c>
      <c r="M37" s="9" t="s">
        <v>988</v>
      </c>
      <c r="N37" s="8">
        <v>1</v>
      </c>
      <c r="O37" s="8">
        <v>259</v>
      </c>
      <c r="P37" s="8">
        <v>2</v>
      </c>
      <c r="Q37" s="8" t="str">
        <f>VLOOKUP(patient[[#This Row],[ID_mutuelle]],mutuelle[],2,FALSE)</f>
        <v>SORUAL</v>
      </c>
    </row>
    <row r="38" spans="1:17" x14ac:dyDescent="0.3">
      <c r="A38" s="8">
        <v>368</v>
      </c>
      <c r="B38" s="9" t="s">
        <v>1127</v>
      </c>
      <c r="C38" s="9" t="s">
        <v>1128</v>
      </c>
      <c r="D38" s="9" t="s">
        <v>1129</v>
      </c>
      <c r="E38" s="8">
        <v>75492</v>
      </c>
      <c r="F38" s="9" t="s">
        <v>274</v>
      </c>
      <c r="G38" s="9" t="s">
        <v>1130</v>
      </c>
      <c r="H38" s="8">
        <v>617057977</v>
      </c>
      <c r="I38" s="8">
        <v>32</v>
      </c>
      <c r="J38" s="8">
        <v>102</v>
      </c>
      <c r="K38" s="8">
        <v>209</v>
      </c>
      <c r="L38" s="9" t="s">
        <v>982</v>
      </c>
      <c r="M38" s="9" t="s">
        <v>998</v>
      </c>
      <c r="N38" s="8">
        <v>0</v>
      </c>
      <c r="O38" s="8">
        <v>161</v>
      </c>
      <c r="P38" s="8">
        <v>3</v>
      </c>
      <c r="Q38" s="8" t="str">
        <f>VLOOKUP(patient[[#This Row],[ID_mutuelle]],mutuelle[],2,FALSE)</f>
        <v>MUTUELLE DU PERSONNEL DU GROUPE RATP</v>
      </c>
    </row>
    <row r="39" spans="1:17" x14ac:dyDescent="0.3">
      <c r="A39" s="8">
        <v>369</v>
      </c>
      <c r="B39" s="9" t="s">
        <v>1131</v>
      </c>
      <c r="C39" s="9" t="s">
        <v>1132</v>
      </c>
      <c r="D39" s="9" t="s">
        <v>1133</v>
      </c>
      <c r="E39" s="8">
        <v>95630</v>
      </c>
      <c r="F39" s="9" t="s">
        <v>32</v>
      </c>
      <c r="G39" s="9" t="s">
        <v>1134</v>
      </c>
      <c r="H39" s="8">
        <v>694626531</v>
      </c>
      <c r="I39" s="8">
        <v>98</v>
      </c>
      <c r="J39" s="8">
        <v>31</v>
      </c>
      <c r="K39" s="8">
        <v>197</v>
      </c>
      <c r="L39" s="9" t="s">
        <v>987</v>
      </c>
      <c r="M39" s="9" t="s">
        <v>993</v>
      </c>
      <c r="N39" s="8">
        <v>1</v>
      </c>
      <c r="O39" s="8">
        <v>161</v>
      </c>
      <c r="P39" s="8">
        <v>3</v>
      </c>
      <c r="Q39" s="8" t="str">
        <f>VLOOKUP(patient[[#This Row],[ID_mutuelle]],mutuelle[],2,FALSE)</f>
        <v>MUTUELLE DU PERSONNEL DU GROUPE RATP</v>
      </c>
    </row>
    <row r="40" spans="1:17" x14ac:dyDescent="0.3">
      <c r="A40" s="8">
        <v>370</v>
      </c>
      <c r="B40" s="9" t="s">
        <v>1135</v>
      </c>
      <c r="C40" s="9" t="s">
        <v>1136</v>
      </c>
      <c r="D40" s="9" t="s">
        <v>1137</v>
      </c>
      <c r="E40" s="8">
        <v>93523</v>
      </c>
      <c r="F40" s="9" t="s">
        <v>39</v>
      </c>
      <c r="G40" s="9" t="s">
        <v>1138</v>
      </c>
      <c r="H40" s="8">
        <v>655795234</v>
      </c>
      <c r="I40" s="8">
        <v>96</v>
      </c>
      <c r="J40" s="8">
        <v>46</v>
      </c>
      <c r="K40" s="8">
        <v>138</v>
      </c>
      <c r="L40" s="9" t="s">
        <v>987</v>
      </c>
      <c r="M40" s="9" t="s">
        <v>993</v>
      </c>
      <c r="N40" s="8">
        <v>1</v>
      </c>
      <c r="O40" s="8">
        <v>18</v>
      </c>
      <c r="P40" s="8">
        <v>1</v>
      </c>
      <c r="Q40" s="8" t="str">
        <f>VLOOKUP(patient[[#This Row],[ID_mutuelle]],mutuelle[],2,FALSE)</f>
        <v>CPAM - SOCIETE MUTUALISTE INTERENTREPRISE DU PERSONNEL DES ORGANISMES SOCIAUX DU LOT</v>
      </c>
    </row>
    <row r="41" spans="1:17" x14ac:dyDescent="0.3">
      <c r="A41" s="8">
        <v>371</v>
      </c>
      <c r="B41" s="9" t="s">
        <v>1139</v>
      </c>
      <c r="C41" s="9" t="s">
        <v>1140</v>
      </c>
      <c r="D41" s="9" t="s">
        <v>1141</v>
      </c>
      <c r="E41" s="8">
        <v>92915</v>
      </c>
      <c r="F41" s="9" t="s">
        <v>25</v>
      </c>
      <c r="G41" s="9" t="s">
        <v>1142</v>
      </c>
      <c r="H41" s="8">
        <v>637592161</v>
      </c>
      <c r="I41" s="8">
        <v>50</v>
      </c>
      <c r="J41" s="8">
        <v>137</v>
      </c>
      <c r="K41" s="8">
        <v>113</v>
      </c>
      <c r="L41" s="9" t="s">
        <v>987</v>
      </c>
      <c r="M41" s="9" t="s">
        <v>993</v>
      </c>
      <c r="N41" s="8">
        <v>1</v>
      </c>
      <c r="O41" s="8">
        <v>252</v>
      </c>
      <c r="P41" s="8">
        <v>2</v>
      </c>
      <c r="Q41" s="8" t="str">
        <f>VLOOKUP(patient[[#This Row],[ID_mutuelle]],mutuelle[],2,FALSE)</f>
        <v>SOCIETE MUTUALISTE DU PERSONNEL DE LA SNECMA</v>
      </c>
    </row>
    <row r="42" spans="1:17" x14ac:dyDescent="0.3">
      <c r="A42" s="8">
        <v>372</v>
      </c>
      <c r="B42" s="9" t="s">
        <v>1143</v>
      </c>
      <c r="C42" s="9" t="s">
        <v>1050</v>
      </c>
      <c r="D42" s="9" t="s">
        <v>946</v>
      </c>
      <c r="E42" s="8">
        <v>75386</v>
      </c>
      <c r="F42" s="9" t="s">
        <v>368</v>
      </c>
      <c r="G42" s="9" t="s">
        <v>1144</v>
      </c>
      <c r="H42" s="8">
        <v>620986463</v>
      </c>
      <c r="I42" s="8">
        <v>93</v>
      </c>
      <c r="J42" s="8">
        <v>127</v>
      </c>
      <c r="K42" s="8">
        <v>203</v>
      </c>
      <c r="L42" s="9" t="s">
        <v>982</v>
      </c>
      <c r="M42" s="9" t="s">
        <v>993</v>
      </c>
      <c r="N42" s="8">
        <v>0</v>
      </c>
      <c r="O42" s="8">
        <v>96</v>
      </c>
      <c r="P42" s="8">
        <v>3</v>
      </c>
      <c r="Q42" s="8" t="str">
        <f>VLOOKUP(patient[[#This Row],[ID_mutuelle]],mutuelle[],2,FALSE)</f>
        <v>MUTUELLE DE FRANCE DES HOSPITALIERS</v>
      </c>
    </row>
    <row r="43" spans="1:17" x14ac:dyDescent="0.3">
      <c r="A43" s="8">
        <v>373</v>
      </c>
      <c r="B43" s="9" t="s">
        <v>1145</v>
      </c>
      <c r="C43" s="9" t="s">
        <v>1146</v>
      </c>
      <c r="D43" s="9" t="s">
        <v>1147</v>
      </c>
      <c r="E43" s="8">
        <v>94156</v>
      </c>
      <c r="F43" s="9" t="s">
        <v>124</v>
      </c>
      <c r="G43" s="9" t="s">
        <v>1148</v>
      </c>
      <c r="H43" s="8">
        <v>653423861</v>
      </c>
      <c r="I43" s="8">
        <v>103</v>
      </c>
      <c r="J43" s="8">
        <v>90</v>
      </c>
      <c r="K43" s="8">
        <v>118</v>
      </c>
      <c r="L43" s="9" t="s">
        <v>987</v>
      </c>
      <c r="M43" s="9" t="s">
        <v>993</v>
      </c>
      <c r="N43" s="8">
        <v>0</v>
      </c>
      <c r="O43" s="8">
        <v>163</v>
      </c>
      <c r="P43" s="8">
        <v>3</v>
      </c>
      <c r="Q43" s="8" t="str">
        <f>VLOOKUP(patient[[#This Row],[ID_mutuelle]],mutuelle[],2,FALSE)</f>
        <v>MUTUELLE DU PIC ST LOUP - LA SCOLAIRE</v>
      </c>
    </row>
    <row r="44" spans="1:17" x14ac:dyDescent="0.3">
      <c r="A44" s="8">
        <v>374</v>
      </c>
      <c r="B44" s="9" t="s">
        <v>1149</v>
      </c>
      <c r="C44" s="9" t="s">
        <v>1150</v>
      </c>
      <c r="D44" s="9" t="s">
        <v>1151</v>
      </c>
      <c r="E44" s="8">
        <v>92636</v>
      </c>
      <c r="F44" s="9" t="s">
        <v>274</v>
      </c>
      <c r="G44" s="9" t="s">
        <v>1152</v>
      </c>
      <c r="H44" s="8">
        <v>614939948</v>
      </c>
      <c r="I44" s="8">
        <v>65</v>
      </c>
      <c r="J44" s="8">
        <v>126</v>
      </c>
      <c r="K44" s="8">
        <v>212</v>
      </c>
      <c r="L44" s="9" t="s">
        <v>982</v>
      </c>
      <c r="M44" s="9" t="s">
        <v>993</v>
      </c>
      <c r="N44" s="8">
        <v>0</v>
      </c>
      <c r="O44" s="8">
        <v>165</v>
      </c>
      <c r="P44" s="8">
        <v>2</v>
      </c>
      <c r="Q44" s="8" t="str">
        <f>VLOOKUP(patient[[#This Row],[ID_mutuelle]],mutuelle[],2,FALSE)</f>
        <v>MUTUELLE DU TELEGRAMME</v>
      </c>
    </row>
    <row r="45" spans="1:17" x14ac:dyDescent="0.3">
      <c r="A45" s="8">
        <v>375</v>
      </c>
      <c r="B45" s="9" t="s">
        <v>1153</v>
      </c>
      <c r="C45" s="9" t="s">
        <v>1154</v>
      </c>
      <c r="D45" s="9" t="s">
        <v>1155</v>
      </c>
      <c r="E45" s="8">
        <v>91803</v>
      </c>
      <c r="F45" s="9" t="s">
        <v>129</v>
      </c>
      <c r="G45" s="9" t="s">
        <v>1156</v>
      </c>
      <c r="H45" s="8">
        <v>632449897</v>
      </c>
      <c r="I45" s="8">
        <v>90</v>
      </c>
      <c r="J45" s="8">
        <v>51</v>
      </c>
      <c r="K45" s="8">
        <v>227</v>
      </c>
      <c r="L45" s="9" t="s">
        <v>982</v>
      </c>
      <c r="M45" s="9" t="s">
        <v>1045</v>
      </c>
      <c r="N45" s="8">
        <v>0</v>
      </c>
      <c r="O45" s="8">
        <v>61</v>
      </c>
      <c r="P45" s="8">
        <v>2</v>
      </c>
      <c r="Q45" s="8" t="str">
        <f>VLOOKUP(patient[[#This Row],[ID_mutuelle]],mutuelle[],2,FALSE)</f>
        <v>MUTAC</v>
      </c>
    </row>
    <row r="46" spans="1:17" x14ac:dyDescent="0.3">
      <c r="A46" s="8">
        <v>376</v>
      </c>
      <c r="B46" s="9" t="s">
        <v>831</v>
      </c>
      <c r="C46" s="9" t="s">
        <v>1157</v>
      </c>
      <c r="D46" s="9" t="s">
        <v>1158</v>
      </c>
      <c r="E46" s="8">
        <v>95481</v>
      </c>
      <c r="F46" s="9" t="s">
        <v>77</v>
      </c>
      <c r="G46" s="9" t="s">
        <v>1159</v>
      </c>
      <c r="H46" s="8">
        <v>678127145</v>
      </c>
      <c r="I46" s="8">
        <v>23</v>
      </c>
      <c r="J46" s="8">
        <v>57</v>
      </c>
      <c r="K46" s="8">
        <v>152</v>
      </c>
      <c r="L46" s="9" t="s">
        <v>987</v>
      </c>
      <c r="M46" s="9" t="s">
        <v>993</v>
      </c>
      <c r="N46" s="8">
        <v>0</v>
      </c>
      <c r="O46" s="8">
        <v>101</v>
      </c>
      <c r="P46" s="8">
        <v>2</v>
      </c>
      <c r="Q46" s="8" t="str">
        <f>VLOOKUP(patient[[#This Row],[ID_mutuelle]],mutuelle[],2,FALSE)</f>
        <v>MUTUELLE DE L'ENTREPRISE CITRAM</v>
      </c>
    </row>
    <row r="47" spans="1:17" x14ac:dyDescent="0.3">
      <c r="A47" s="8">
        <v>377</v>
      </c>
      <c r="B47" s="9" t="s">
        <v>1160</v>
      </c>
      <c r="C47" s="9" t="s">
        <v>1161</v>
      </c>
      <c r="D47" s="9" t="s">
        <v>1162</v>
      </c>
      <c r="E47" s="8">
        <v>93453</v>
      </c>
      <c r="F47" s="9" t="s">
        <v>83</v>
      </c>
      <c r="G47" s="9" t="s">
        <v>1163</v>
      </c>
      <c r="H47" s="8">
        <v>662210245</v>
      </c>
      <c r="I47" s="8">
        <v>5</v>
      </c>
      <c r="J47" s="8">
        <v>121</v>
      </c>
      <c r="K47" s="8">
        <v>147</v>
      </c>
      <c r="L47" s="9" t="s">
        <v>987</v>
      </c>
      <c r="M47" s="9" t="s">
        <v>1077</v>
      </c>
      <c r="N47" s="8">
        <v>0</v>
      </c>
      <c r="O47" s="8">
        <v>194</v>
      </c>
      <c r="P47" s="8">
        <v>1</v>
      </c>
      <c r="Q47" s="8" t="str">
        <f>VLOOKUP(patient[[#This Row],[ID_mutuelle]],mutuelle[],2,FALSE)</f>
        <v>MUTUELLE INTERPROFESSIONNELLE DE PREVOYANCE</v>
      </c>
    </row>
    <row r="48" spans="1:17" x14ac:dyDescent="0.3">
      <c r="A48" s="8">
        <v>378</v>
      </c>
      <c r="B48" s="9" t="s">
        <v>1164</v>
      </c>
      <c r="C48" s="9" t="s">
        <v>1165</v>
      </c>
      <c r="D48" s="9" t="s">
        <v>1166</v>
      </c>
      <c r="E48" s="8">
        <v>91521</v>
      </c>
      <c r="F48" s="9" t="s">
        <v>124</v>
      </c>
      <c r="G48" s="9" t="s">
        <v>1167</v>
      </c>
      <c r="H48" s="8">
        <v>656003699</v>
      </c>
      <c r="I48" s="8">
        <v>98</v>
      </c>
      <c r="J48" s="8">
        <v>139</v>
      </c>
      <c r="K48" s="8">
        <v>88</v>
      </c>
      <c r="L48" s="9" t="s">
        <v>987</v>
      </c>
      <c r="M48" s="9" t="s">
        <v>1032</v>
      </c>
      <c r="N48" s="8">
        <v>0</v>
      </c>
      <c r="O48" s="8">
        <v>37</v>
      </c>
      <c r="P48" s="8">
        <v>3</v>
      </c>
      <c r="Q48" s="8" t="str">
        <f>VLOOKUP(patient[[#This Row],[ID_mutuelle]],mutuelle[],2,FALSE)</f>
        <v>LA MARSILLARGUOISE</v>
      </c>
    </row>
    <row r="49" spans="1:17" x14ac:dyDescent="0.3">
      <c r="A49" s="8">
        <v>379</v>
      </c>
      <c r="B49" s="9" t="s">
        <v>1168</v>
      </c>
      <c r="C49" s="9" t="s">
        <v>1169</v>
      </c>
      <c r="D49" s="9" t="s">
        <v>1170</v>
      </c>
      <c r="E49" s="8">
        <v>93216</v>
      </c>
      <c r="F49" s="9" t="s">
        <v>368</v>
      </c>
      <c r="G49" s="9" t="s">
        <v>1171</v>
      </c>
      <c r="H49" s="8">
        <v>693477902</v>
      </c>
      <c r="I49" s="8">
        <v>28</v>
      </c>
      <c r="J49" s="8">
        <v>79</v>
      </c>
      <c r="K49" s="8">
        <v>177</v>
      </c>
      <c r="L49" s="9" t="s">
        <v>987</v>
      </c>
      <c r="M49" s="9" t="s">
        <v>993</v>
      </c>
      <c r="N49" s="8">
        <v>1</v>
      </c>
      <c r="O49" s="8">
        <v>159</v>
      </c>
      <c r="P49" s="8">
        <v>2</v>
      </c>
      <c r="Q49" s="8" t="str">
        <f>VLOOKUP(patient[[#This Row],[ID_mutuelle]],mutuelle[],2,FALSE)</f>
        <v>MUTUELLE DU PERSONNEL DES TRANSPORTS URBAINS DE CANNES - BUS AZUR</v>
      </c>
    </row>
    <row r="50" spans="1:17" x14ac:dyDescent="0.3">
      <c r="A50" s="8">
        <v>380</v>
      </c>
      <c r="B50" s="9" t="s">
        <v>1172</v>
      </c>
      <c r="C50" s="9" t="s">
        <v>1173</v>
      </c>
      <c r="D50" s="9" t="s">
        <v>1174</v>
      </c>
      <c r="E50" s="8">
        <v>91567</v>
      </c>
      <c r="F50" s="9" t="s">
        <v>129</v>
      </c>
      <c r="G50" s="9" t="s">
        <v>1175</v>
      </c>
      <c r="H50" s="8">
        <v>621580321</v>
      </c>
      <c r="I50" s="8">
        <v>98</v>
      </c>
      <c r="J50" s="8">
        <v>34</v>
      </c>
      <c r="K50" s="8">
        <v>115</v>
      </c>
      <c r="L50" s="9" t="s">
        <v>982</v>
      </c>
      <c r="M50" s="9" t="s">
        <v>993</v>
      </c>
      <c r="N50" s="8">
        <v>0</v>
      </c>
      <c r="O50" s="8">
        <v>233</v>
      </c>
      <c r="P50" s="8">
        <v>1</v>
      </c>
      <c r="Q50" s="8" t="str">
        <f>VLOOKUP(patient[[#This Row],[ID_mutuelle]],mutuelle[],2,FALSE)</f>
        <v>MUTUELLE VERRIERS ET ASSIMILES</v>
      </c>
    </row>
    <row r="51" spans="1:17" x14ac:dyDescent="0.3">
      <c r="A51" s="8">
        <v>381</v>
      </c>
      <c r="B51" s="9" t="s">
        <v>1176</v>
      </c>
      <c r="C51" s="9" t="s">
        <v>1177</v>
      </c>
      <c r="D51" s="9" t="s">
        <v>1178</v>
      </c>
      <c r="E51" s="8">
        <v>92886</v>
      </c>
      <c r="F51" s="9" t="s">
        <v>114</v>
      </c>
      <c r="G51" s="9" t="s">
        <v>1179</v>
      </c>
      <c r="H51" s="8">
        <v>630742900</v>
      </c>
      <c r="I51" s="8">
        <v>68</v>
      </c>
      <c r="J51" s="8">
        <v>112</v>
      </c>
      <c r="K51" s="8">
        <v>179</v>
      </c>
      <c r="L51" s="9" t="s">
        <v>982</v>
      </c>
      <c r="M51" s="9" t="s">
        <v>1015</v>
      </c>
      <c r="N51" s="8">
        <v>1</v>
      </c>
      <c r="O51" s="8">
        <v>84</v>
      </c>
      <c r="P51" s="8">
        <v>3</v>
      </c>
      <c r="Q51" s="8" t="str">
        <f>VLOOKUP(patient[[#This Row],[ID_mutuelle]],mutuelle[],2,FALSE)</f>
        <v>MUTUELLE D ENTREPRISE DES ETABLISSEMENTS DU BON SAUVEUR</v>
      </c>
    </row>
    <row r="52" spans="1:17" x14ac:dyDescent="0.3">
      <c r="A52" s="8">
        <v>382</v>
      </c>
      <c r="B52" s="9" t="s">
        <v>1180</v>
      </c>
      <c r="C52" s="9" t="s">
        <v>1181</v>
      </c>
      <c r="D52" s="9" t="s">
        <v>1182</v>
      </c>
      <c r="E52" s="8">
        <v>91796</v>
      </c>
      <c r="F52" s="9" t="s">
        <v>168</v>
      </c>
      <c r="G52" s="9" t="s">
        <v>1183</v>
      </c>
      <c r="H52" s="8">
        <v>668687766</v>
      </c>
      <c r="I52" s="8">
        <v>83</v>
      </c>
      <c r="J52" s="8">
        <v>45</v>
      </c>
      <c r="K52" s="8">
        <v>129</v>
      </c>
      <c r="L52" s="9" t="s">
        <v>987</v>
      </c>
      <c r="M52" s="9" t="s">
        <v>993</v>
      </c>
      <c r="N52" s="8">
        <v>1</v>
      </c>
      <c r="O52" s="8">
        <v>257</v>
      </c>
      <c r="P52" s="8">
        <v>1</v>
      </c>
      <c r="Q52" s="8" t="str">
        <f>VLOOKUP(patient[[#This Row],[ID_mutuelle]],mutuelle[],2,FALSE)</f>
        <v>SOLIMUT MUTUELLE DE FRANCE</v>
      </c>
    </row>
    <row r="53" spans="1:17" x14ac:dyDescent="0.3">
      <c r="A53" s="8">
        <v>383</v>
      </c>
      <c r="B53" s="9" t="s">
        <v>1184</v>
      </c>
      <c r="C53" s="9" t="s">
        <v>1185</v>
      </c>
      <c r="D53" s="9" t="s">
        <v>1186</v>
      </c>
      <c r="E53" s="8">
        <v>75781</v>
      </c>
      <c r="F53" s="9" t="s">
        <v>257</v>
      </c>
      <c r="G53" s="9" t="s">
        <v>1187</v>
      </c>
      <c r="H53" s="8">
        <v>682756753</v>
      </c>
      <c r="I53" s="8">
        <v>79</v>
      </c>
      <c r="J53" s="8">
        <v>117</v>
      </c>
      <c r="K53" s="8">
        <v>154</v>
      </c>
      <c r="L53" s="9" t="s">
        <v>987</v>
      </c>
      <c r="M53" s="9" t="s">
        <v>993</v>
      </c>
      <c r="N53" s="8">
        <v>1</v>
      </c>
      <c r="O53" s="8">
        <v>235</v>
      </c>
      <c r="P53" s="8">
        <v>2</v>
      </c>
      <c r="Q53" s="8" t="str">
        <f>VLOOKUP(patient[[#This Row],[ID_mutuelle]],mutuelle[],2,FALSE)</f>
        <v>MUTUELLES DE LORRAINE</v>
      </c>
    </row>
    <row r="54" spans="1:17" x14ac:dyDescent="0.3">
      <c r="A54" s="8">
        <v>384</v>
      </c>
      <c r="B54" s="9" t="s">
        <v>1188</v>
      </c>
      <c r="C54" s="9" t="s">
        <v>1189</v>
      </c>
      <c r="D54" s="9" t="s">
        <v>1190</v>
      </c>
      <c r="E54" s="8">
        <v>94723</v>
      </c>
      <c r="F54" s="9" t="s">
        <v>32</v>
      </c>
      <c r="G54" s="9" t="s">
        <v>1191</v>
      </c>
      <c r="H54" s="8">
        <v>655795569</v>
      </c>
      <c r="I54" s="8">
        <v>19</v>
      </c>
      <c r="J54" s="8">
        <v>41</v>
      </c>
      <c r="K54" s="8">
        <v>157</v>
      </c>
      <c r="L54" s="9" t="s">
        <v>987</v>
      </c>
      <c r="M54" s="9" t="s">
        <v>993</v>
      </c>
      <c r="N54" s="8">
        <v>1</v>
      </c>
      <c r="O54" s="8">
        <v>99</v>
      </c>
      <c r="P54" s="8">
        <v>3</v>
      </c>
      <c r="Q54" s="8" t="str">
        <f>VLOOKUP(patient[[#This Row],[ID_mutuelle]],mutuelle[],2,FALSE)</f>
        <v>MUTUELLE DE L'ENSEIGNEMENT CATHOLIQUE DE L'ANJOU</v>
      </c>
    </row>
    <row r="55" spans="1:17" x14ac:dyDescent="0.3">
      <c r="A55" s="8">
        <v>385</v>
      </c>
      <c r="B55" s="9" t="s">
        <v>1192</v>
      </c>
      <c r="C55" s="9" t="s">
        <v>1193</v>
      </c>
      <c r="D55" s="9" t="s">
        <v>1194</v>
      </c>
      <c r="E55" s="8">
        <v>93374</v>
      </c>
      <c r="F55" s="9" t="s">
        <v>58</v>
      </c>
      <c r="G55" s="9" t="s">
        <v>1195</v>
      </c>
      <c r="H55" s="8">
        <v>640880312</v>
      </c>
      <c r="I55" s="8">
        <v>55</v>
      </c>
      <c r="J55" s="8">
        <v>30</v>
      </c>
      <c r="K55" s="8">
        <v>191</v>
      </c>
      <c r="L55" s="9" t="s">
        <v>987</v>
      </c>
      <c r="M55" s="9" t="s">
        <v>993</v>
      </c>
      <c r="N55" s="8">
        <v>1</v>
      </c>
      <c r="O55" s="8">
        <v>265</v>
      </c>
      <c r="P55" s="8">
        <v>3</v>
      </c>
      <c r="Q55" s="8" t="str">
        <f>VLOOKUP(patient[[#This Row],[ID_mutuelle]],mutuelle[],2,FALSE)</f>
        <v>UNION HARMONIE MUTUALITE</v>
      </c>
    </row>
    <row r="56" spans="1:17" x14ac:dyDescent="0.3">
      <c r="A56" s="8">
        <v>386</v>
      </c>
      <c r="B56" s="9" t="s">
        <v>1196</v>
      </c>
      <c r="C56" s="9" t="s">
        <v>1197</v>
      </c>
      <c r="D56" s="9" t="s">
        <v>1198</v>
      </c>
      <c r="E56" s="8">
        <v>75617</v>
      </c>
      <c r="F56" s="9" t="s">
        <v>162</v>
      </c>
      <c r="G56" s="9" t="s">
        <v>1199</v>
      </c>
      <c r="H56" s="8">
        <v>613765542</v>
      </c>
      <c r="I56" s="8">
        <v>12</v>
      </c>
      <c r="J56" s="8">
        <v>147</v>
      </c>
      <c r="K56" s="8">
        <v>142</v>
      </c>
      <c r="L56" s="9" t="s">
        <v>987</v>
      </c>
      <c r="M56" s="9" t="s">
        <v>993</v>
      </c>
      <c r="N56" s="8">
        <v>1</v>
      </c>
      <c r="O56" s="8">
        <v>52</v>
      </c>
      <c r="P56" s="8">
        <v>2</v>
      </c>
      <c r="Q56" s="8" t="str">
        <f>VLOOKUP(patient[[#This Row],[ID_mutuelle]],mutuelle[],2,FALSE)</f>
        <v>MCLR</v>
      </c>
    </row>
    <row r="57" spans="1:17" x14ac:dyDescent="0.3">
      <c r="A57" s="8">
        <v>387</v>
      </c>
      <c r="B57" s="9" t="s">
        <v>1200</v>
      </c>
      <c r="C57" s="9" t="s">
        <v>1201</v>
      </c>
      <c r="D57" s="9" t="s">
        <v>1202</v>
      </c>
      <c r="E57" s="8">
        <v>92147</v>
      </c>
      <c r="F57" s="9" t="s">
        <v>218</v>
      </c>
      <c r="G57" s="9" t="s">
        <v>1203</v>
      </c>
      <c r="H57" s="8">
        <v>686106243</v>
      </c>
      <c r="I57" s="8">
        <v>98</v>
      </c>
      <c r="J57" s="8">
        <v>12</v>
      </c>
      <c r="K57" s="8">
        <v>157</v>
      </c>
      <c r="L57" s="9" t="s">
        <v>982</v>
      </c>
      <c r="M57" s="9" t="s">
        <v>1015</v>
      </c>
      <c r="N57" s="8">
        <v>1</v>
      </c>
      <c r="O57" s="8">
        <v>104</v>
      </c>
      <c r="P57" s="8">
        <v>1</v>
      </c>
      <c r="Q57" s="8" t="str">
        <f>VLOOKUP(patient[[#This Row],[ID_mutuelle]],mutuelle[],2,FALSE)</f>
        <v>MUTUELLE DE L'IRSID</v>
      </c>
    </row>
    <row r="58" spans="1:17" x14ac:dyDescent="0.3">
      <c r="A58" s="8">
        <v>388</v>
      </c>
      <c r="B58" s="9" t="s">
        <v>1204</v>
      </c>
      <c r="C58" s="9" t="s">
        <v>1205</v>
      </c>
      <c r="D58" s="9" t="s">
        <v>1206</v>
      </c>
      <c r="E58" s="8">
        <v>78124</v>
      </c>
      <c r="F58" s="9" t="s">
        <v>114</v>
      </c>
      <c r="G58" s="9" t="s">
        <v>1207</v>
      </c>
      <c r="H58" s="8">
        <v>699631025</v>
      </c>
      <c r="I58" s="8">
        <v>105</v>
      </c>
      <c r="J58" s="8">
        <v>97</v>
      </c>
      <c r="K58" s="8">
        <v>153</v>
      </c>
      <c r="L58" s="9" t="s">
        <v>987</v>
      </c>
      <c r="M58" s="9" t="s">
        <v>983</v>
      </c>
      <c r="N58" s="8">
        <v>1</v>
      </c>
      <c r="O58" s="8">
        <v>262</v>
      </c>
      <c r="P58" s="8">
        <v>2</v>
      </c>
      <c r="Q58" s="8" t="str">
        <f>VLOOKUP(patient[[#This Row],[ID_mutuelle]],mutuelle[],2,FALSE)</f>
        <v>TUTELAIRE</v>
      </c>
    </row>
    <row r="59" spans="1:17" x14ac:dyDescent="0.3">
      <c r="A59" s="8">
        <v>389</v>
      </c>
      <c r="B59" s="9" t="s">
        <v>1208</v>
      </c>
      <c r="C59" s="9" t="s">
        <v>1209</v>
      </c>
      <c r="D59" s="9" t="s">
        <v>1210</v>
      </c>
      <c r="E59" s="8">
        <v>92697</v>
      </c>
      <c r="F59" s="9" t="s">
        <v>189</v>
      </c>
      <c r="G59" s="9" t="s">
        <v>1211</v>
      </c>
      <c r="H59" s="8">
        <v>646935996</v>
      </c>
      <c r="I59" s="8">
        <v>79</v>
      </c>
      <c r="J59" s="8">
        <v>27</v>
      </c>
      <c r="K59" s="8">
        <v>200</v>
      </c>
      <c r="L59" s="9" t="s">
        <v>982</v>
      </c>
      <c r="M59" s="9" t="s">
        <v>1045</v>
      </c>
      <c r="N59" s="8">
        <v>1</v>
      </c>
      <c r="O59" s="8">
        <v>52</v>
      </c>
      <c r="P59" s="8">
        <v>1</v>
      </c>
      <c r="Q59" s="8" t="str">
        <f>VLOOKUP(patient[[#This Row],[ID_mutuelle]],mutuelle[],2,FALSE)</f>
        <v>MCLR</v>
      </c>
    </row>
    <row r="60" spans="1:17" x14ac:dyDescent="0.3">
      <c r="A60" s="8">
        <v>390</v>
      </c>
      <c r="B60" s="9" t="s">
        <v>1212</v>
      </c>
      <c r="C60" s="9" t="s">
        <v>1213</v>
      </c>
      <c r="D60" s="9" t="s">
        <v>1214</v>
      </c>
      <c r="E60" s="8">
        <v>75192</v>
      </c>
      <c r="F60" s="9" t="s">
        <v>257</v>
      </c>
      <c r="G60" s="9" t="s">
        <v>1215</v>
      </c>
      <c r="H60" s="8">
        <v>683564304</v>
      </c>
      <c r="I60" s="8">
        <v>38</v>
      </c>
      <c r="J60" s="8">
        <v>53</v>
      </c>
      <c r="K60" s="8">
        <v>209</v>
      </c>
      <c r="L60" s="9" t="s">
        <v>982</v>
      </c>
      <c r="M60" s="9" t="s">
        <v>993</v>
      </c>
      <c r="N60" s="8">
        <v>1</v>
      </c>
      <c r="O60" s="8">
        <v>92</v>
      </c>
      <c r="P60" s="8">
        <v>1</v>
      </c>
      <c r="Q60" s="8" t="str">
        <f>VLOOKUP(patient[[#This Row],[ID_mutuelle]],mutuelle[],2,FALSE)</f>
        <v>MUTUELLE D'IVRY (LA FRATERNELLE)</v>
      </c>
    </row>
    <row r="61" spans="1:17" x14ac:dyDescent="0.3">
      <c r="A61" s="8">
        <v>391</v>
      </c>
      <c r="B61" s="9" t="s">
        <v>1216</v>
      </c>
      <c r="C61" s="9" t="s">
        <v>1217</v>
      </c>
      <c r="D61" s="9" t="s">
        <v>1218</v>
      </c>
      <c r="E61" s="8">
        <v>94570</v>
      </c>
      <c r="F61" s="9" t="s">
        <v>194</v>
      </c>
      <c r="G61" s="9" t="s">
        <v>1219</v>
      </c>
      <c r="H61" s="8">
        <v>610430185</v>
      </c>
      <c r="I61" s="8">
        <v>69</v>
      </c>
      <c r="J61" s="8">
        <v>24</v>
      </c>
      <c r="K61" s="8">
        <v>107</v>
      </c>
      <c r="L61" s="9" t="s">
        <v>987</v>
      </c>
      <c r="M61" s="9" t="s">
        <v>1045</v>
      </c>
      <c r="N61" s="8">
        <v>1</v>
      </c>
      <c r="O61" s="8">
        <v>100</v>
      </c>
      <c r="P61" s="8">
        <v>3</v>
      </c>
      <c r="Q61" s="8" t="str">
        <f>VLOOKUP(patient[[#This Row],[ID_mutuelle]],mutuelle[],2,FALSE)</f>
        <v>MUTUELLE DE L'ENSEIGNEMENT CATHOLIQUE DES COTES D'ARMOR</v>
      </c>
    </row>
    <row r="62" spans="1:17" x14ac:dyDescent="0.3">
      <c r="A62" s="8">
        <v>392</v>
      </c>
      <c r="B62" s="9" t="s">
        <v>1220</v>
      </c>
      <c r="C62" s="9" t="s">
        <v>1221</v>
      </c>
      <c r="D62" s="9" t="s">
        <v>1222</v>
      </c>
      <c r="E62" s="8">
        <v>94978</v>
      </c>
      <c r="F62" s="9" t="s">
        <v>52</v>
      </c>
      <c r="G62" s="9" t="s">
        <v>1223</v>
      </c>
      <c r="H62" s="8">
        <v>665246749</v>
      </c>
      <c r="I62" s="8">
        <v>12</v>
      </c>
      <c r="J62" s="8">
        <v>21</v>
      </c>
      <c r="K62" s="8">
        <v>153</v>
      </c>
      <c r="L62" s="9" t="s">
        <v>987</v>
      </c>
      <c r="M62" s="9" t="s">
        <v>993</v>
      </c>
      <c r="N62" s="8">
        <v>0</v>
      </c>
      <c r="O62" s="8">
        <v>62</v>
      </c>
      <c r="P62" s="8">
        <v>1</v>
      </c>
      <c r="Q62" s="8" t="str">
        <f>VLOOKUP(patient[[#This Row],[ID_mutuelle]],mutuelle[],2,FALSE)</f>
        <v>MUTAERO</v>
      </c>
    </row>
    <row r="63" spans="1:17" x14ac:dyDescent="0.3">
      <c r="A63" s="8">
        <v>393</v>
      </c>
      <c r="B63" s="9" t="s">
        <v>1224</v>
      </c>
      <c r="C63" s="9" t="s">
        <v>1225</v>
      </c>
      <c r="D63" s="9" t="s">
        <v>1226</v>
      </c>
      <c r="E63" s="8">
        <v>75422</v>
      </c>
      <c r="F63" s="9" t="s">
        <v>213</v>
      </c>
      <c r="G63" s="9" t="s">
        <v>1227</v>
      </c>
      <c r="H63" s="8">
        <v>697846629</v>
      </c>
      <c r="I63" s="8">
        <v>57</v>
      </c>
      <c r="J63" s="8">
        <v>45</v>
      </c>
      <c r="K63" s="8">
        <v>203</v>
      </c>
      <c r="L63" s="9" t="s">
        <v>987</v>
      </c>
      <c r="M63" s="9" t="s">
        <v>1015</v>
      </c>
      <c r="N63" s="8">
        <v>1</v>
      </c>
      <c r="O63" s="8">
        <v>43</v>
      </c>
      <c r="P63" s="8">
        <v>2</v>
      </c>
      <c r="Q63" s="8" t="str">
        <f>VLOOKUP(patient[[#This Row],[ID_mutuelle]],mutuelle[],2,FALSE)</f>
        <v>LA PROBITE</v>
      </c>
    </row>
    <row r="64" spans="1:17" x14ac:dyDescent="0.3">
      <c r="A64" s="8">
        <v>394</v>
      </c>
      <c r="B64" s="9" t="s">
        <v>1228</v>
      </c>
      <c r="C64" s="9" t="s">
        <v>1229</v>
      </c>
      <c r="D64" s="9" t="s">
        <v>1230</v>
      </c>
      <c r="E64" s="8">
        <v>78826</v>
      </c>
      <c r="F64" s="9" t="s">
        <v>58</v>
      </c>
      <c r="G64" s="9" t="s">
        <v>1231</v>
      </c>
      <c r="H64" s="8">
        <v>670359573</v>
      </c>
      <c r="I64" s="8">
        <v>26</v>
      </c>
      <c r="J64" s="8">
        <v>86</v>
      </c>
      <c r="K64" s="8">
        <v>188</v>
      </c>
      <c r="L64" s="9" t="s">
        <v>982</v>
      </c>
      <c r="M64" s="9" t="s">
        <v>988</v>
      </c>
      <c r="N64" s="8">
        <v>1</v>
      </c>
      <c r="O64" s="8">
        <v>174</v>
      </c>
      <c r="P64" s="8">
        <v>1</v>
      </c>
      <c r="Q64" s="8" t="str">
        <f>VLOOKUP(patient[[#This Row],[ID_mutuelle]],mutuelle[],2,FALSE)</f>
        <v>MUTUELLE FAMILIALE DE NORMANDIE</v>
      </c>
    </row>
    <row r="65" spans="1:17" x14ac:dyDescent="0.3">
      <c r="A65" s="8">
        <v>395</v>
      </c>
      <c r="B65" s="9" t="s">
        <v>1232</v>
      </c>
      <c r="C65" s="9" t="s">
        <v>1233</v>
      </c>
      <c r="D65" s="9" t="s">
        <v>1234</v>
      </c>
      <c r="E65" s="8">
        <v>91693</v>
      </c>
      <c r="F65" s="9" t="s">
        <v>218</v>
      </c>
      <c r="G65" s="9" t="s">
        <v>1235</v>
      </c>
      <c r="H65" s="8">
        <v>678023005</v>
      </c>
      <c r="I65" s="8">
        <v>2</v>
      </c>
      <c r="J65" s="8">
        <v>128</v>
      </c>
      <c r="K65" s="8">
        <v>210</v>
      </c>
      <c r="L65" s="9" t="s">
        <v>982</v>
      </c>
      <c r="M65" s="9" t="s">
        <v>993</v>
      </c>
      <c r="N65" s="8">
        <v>1</v>
      </c>
      <c r="O65" s="8">
        <v>172</v>
      </c>
      <c r="P65" s="8">
        <v>3</v>
      </c>
      <c r="Q65" s="8" t="str">
        <f>VLOOKUP(patient[[#This Row],[ID_mutuelle]],mutuelle[],2,FALSE)</f>
        <v>MUTUELLE FAMILIALE</v>
      </c>
    </row>
    <row r="66" spans="1:17" x14ac:dyDescent="0.3">
      <c r="A66" s="8">
        <v>396</v>
      </c>
      <c r="B66" s="9" t="s">
        <v>1236</v>
      </c>
      <c r="C66" s="9" t="s">
        <v>1237</v>
      </c>
      <c r="D66" s="9" t="s">
        <v>1238</v>
      </c>
      <c r="E66" s="8">
        <v>93351</v>
      </c>
      <c r="F66" s="9" t="s">
        <v>213</v>
      </c>
      <c r="G66" s="9" t="s">
        <v>1239</v>
      </c>
      <c r="H66" s="8">
        <v>678281278</v>
      </c>
      <c r="I66" s="8">
        <v>41</v>
      </c>
      <c r="J66" s="8">
        <v>59</v>
      </c>
      <c r="K66" s="8">
        <v>99</v>
      </c>
      <c r="L66" s="9" t="s">
        <v>982</v>
      </c>
      <c r="M66" s="9" t="s">
        <v>993</v>
      </c>
      <c r="N66" s="8">
        <v>0</v>
      </c>
      <c r="O66" s="8">
        <v>74</v>
      </c>
      <c r="P66" s="8">
        <v>1</v>
      </c>
      <c r="Q66" s="8" t="str">
        <f>VLOOKUP(patient[[#This Row],[ID_mutuelle]],mutuelle[],2,FALSE)</f>
        <v>MUTUELLE AIDE ET SOLIDARITE</v>
      </c>
    </row>
    <row r="67" spans="1:17" x14ac:dyDescent="0.3">
      <c r="A67" s="8">
        <v>397</v>
      </c>
      <c r="B67" s="9" t="s">
        <v>1240</v>
      </c>
      <c r="C67" s="9" t="s">
        <v>1241</v>
      </c>
      <c r="D67" s="9" t="s">
        <v>1242</v>
      </c>
      <c r="E67" s="8">
        <v>95851</v>
      </c>
      <c r="F67" s="9" t="s">
        <v>162</v>
      </c>
      <c r="G67" s="9" t="s">
        <v>1243</v>
      </c>
      <c r="H67" s="8">
        <v>653835124</v>
      </c>
      <c r="I67" s="8">
        <v>25</v>
      </c>
      <c r="J67" s="8">
        <v>73</v>
      </c>
      <c r="K67" s="8">
        <v>149</v>
      </c>
      <c r="L67" s="9" t="s">
        <v>987</v>
      </c>
      <c r="M67" s="9" t="s">
        <v>998</v>
      </c>
      <c r="N67" s="8">
        <v>1</v>
      </c>
      <c r="O67" s="8">
        <v>144</v>
      </c>
      <c r="P67" s="8">
        <v>1</v>
      </c>
      <c r="Q67" s="8" t="str">
        <f>VLOOKUP(patient[[#This Row],[ID_mutuelle]],mutuelle[],2,FALSE)</f>
        <v>MUTUELLE DES TRANSPORTS</v>
      </c>
    </row>
    <row r="68" spans="1:17" x14ac:dyDescent="0.3">
      <c r="A68" s="8">
        <v>398</v>
      </c>
      <c r="B68" s="9" t="s">
        <v>1244</v>
      </c>
      <c r="C68" s="9" t="s">
        <v>1245</v>
      </c>
      <c r="D68" s="9" t="s">
        <v>1246</v>
      </c>
      <c r="E68" s="8">
        <v>95989</v>
      </c>
      <c r="F68" s="9" t="s">
        <v>83</v>
      </c>
      <c r="G68" s="9" t="s">
        <v>1247</v>
      </c>
      <c r="H68" s="8">
        <v>680506964</v>
      </c>
      <c r="I68" s="8">
        <v>91</v>
      </c>
      <c r="J68" s="8">
        <v>85</v>
      </c>
      <c r="K68" s="8">
        <v>116</v>
      </c>
      <c r="L68" s="9" t="s">
        <v>982</v>
      </c>
      <c r="M68" s="9" t="s">
        <v>993</v>
      </c>
      <c r="N68" s="8">
        <v>0</v>
      </c>
      <c r="O68" s="8">
        <v>2</v>
      </c>
      <c r="P68" s="8">
        <v>1</v>
      </c>
      <c r="Q68" s="8" t="str">
        <f>VLOOKUP(patient[[#This Row],[ID_mutuelle]],mutuelle[],2,FALSE)</f>
        <v>ADREA MUTUELLE</v>
      </c>
    </row>
    <row r="69" spans="1:17" x14ac:dyDescent="0.3">
      <c r="A69" s="8">
        <v>399</v>
      </c>
      <c r="B69" s="9" t="s">
        <v>1248</v>
      </c>
      <c r="C69" s="9" t="s">
        <v>1249</v>
      </c>
      <c r="D69" s="9" t="s">
        <v>1250</v>
      </c>
      <c r="E69" s="8">
        <v>92510</v>
      </c>
      <c r="F69" s="9" t="s">
        <v>213</v>
      </c>
      <c r="G69" s="9" t="s">
        <v>1251</v>
      </c>
      <c r="H69" s="8">
        <v>662127460</v>
      </c>
      <c r="I69" s="8">
        <v>20</v>
      </c>
      <c r="J69" s="8">
        <v>116</v>
      </c>
      <c r="K69" s="8">
        <v>144</v>
      </c>
      <c r="L69" s="9" t="s">
        <v>987</v>
      </c>
      <c r="M69" s="9" t="s">
        <v>988</v>
      </c>
      <c r="N69" s="8">
        <v>0</v>
      </c>
      <c r="O69" s="8">
        <v>212</v>
      </c>
      <c r="P69" s="8">
        <v>3</v>
      </c>
      <c r="Q69" s="8" t="str">
        <f>VLOOKUP(patient[[#This Row],[ID_mutuelle]],mutuelle[],2,FALSE)</f>
        <v>MUTUELLE NATIONALE DES HOSPITALIERS ET DES PROFESSIONNELS DE LA SANTE ET DU SOCIAL</v>
      </c>
    </row>
    <row r="70" spans="1:17" x14ac:dyDescent="0.3">
      <c r="A70" s="8">
        <v>400</v>
      </c>
      <c r="B70" s="9" t="s">
        <v>1252</v>
      </c>
      <c r="C70" s="9" t="s">
        <v>1253</v>
      </c>
      <c r="D70" s="9" t="s">
        <v>1254</v>
      </c>
      <c r="E70" s="8">
        <v>75106</v>
      </c>
      <c r="F70" s="9" t="s">
        <v>89</v>
      </c>
      <c r="G70" s="9" t="s">
        <v>1255</v>
      </c>
      <c r="H70" s="8">
        <v>675073696</v>
      </c>
      <c r="I70" s="8">
        <v>57</v>
      </c>
      <c r="J70" s="8">
        <v>18</v>
      </c>
      <c r="K70" s="8">
        <v>194</v>
      </c>
      <c r="L70" s="9" t="s">
        <v>982</v>
      </c>
      <c r="M70" s="9" t="s">
        <v>993</v>
      </c>
      <c r="N70" s="8">
        <v>1</v>
      </c>
      <c r="O70" s="8">
        <v>137</v>
      </c>
      <c r="P70" s="8">
        <v>2</v>
      </c>
      <c r="Q70" s="8" t="str">
        <f>VLOOKUP(patient[[#This Row],[ID_mutuelle]],mutuelle[],2,FALSE)</f>
        <v>MUTUELLE DES RETRAITES AGF ET ALLIANZ</v>
      </c>
    </row>
    <row r="71" spans="1:17" x14ac:dyDescent="0.3">
      <c r="A71" s="8">
        <v>401</v>
      </c>
      <c r="B71" s="9" t="s">
        <v>1256</v>
      </c>
      <c r="C71" s="9" t="s">
        <v>1257</v>
      </c>
      <c r="D71" s="9" t="s">
        <v>1258</v>
      </c>
      <c r="E71" s="8">
        <v>94382</v>
      </c>
      <c r="F71" s="9" t="s">
        <v>269</v>
      </c>
      <c r="G71" s="9" t="s">
        <v>1259</v>
      </c>
      <c r="H71" s="8">
        <v>685033480</v>
      </c>
      <c r="I71" s="8">
        <v>41</v>
      </c>
      <c r="J71" s="8">
        <v>8</v>
      </c>
      <c r="K71" s="8">
        <v>185</v>
      </c>
      <c r="L71" s="9" t="s">
        <v>987</v>
      </c>
      <c r="M71" s="9" t="s">
        <v>983</v>
      </c>
      <c r="N71" s="8">
        <v>1</v>
      </c>
      <c r="O71" s="8">
        <v>84</v>
      </c>
      <c r="P71" s="8">
        <v>3</v>
      </c>
      <c r="Q71" s="8" t="str">
        <f>VLOOKUP(patient[[#This Row],[ID_mutuelle]],mutuelle[],2,FALSE)</f>
        <v>MUTUELLE D ENTREPRISE DES ETABLISSEMENTS DU BON SAUVEUR</v>
      </c>
    </row>
    <row r="72" spans="1:17" x14ac:dyDescent="0.3">
      <c r="A72" s="8">
        <v>402</v>
      </c>
      <c r="B72" s="9" t="s">
        <v>1260</v>
      </c>
      <c r="C72" s="9" t="s">
        <v>1261</v>
      </c>
      <c r="D72" s="9" t="s">
        <v>1262</v>
      </c>
      <c r="E72" s="8">
        <v>91669</v>
      </c>
      <c r="F72" s="9" t="s">
        <v>194</v>
      </c>
      <c r="G72" s="9" t="s">
        <v>1263</v>
      </c>
      <c r="H72" s="8">
        <v>679518279</v>
      </c>
      <c r="I72" s="8">
        <v>17</v>
      </c>
      <c r="J72" s="8">
        <v>12</v>
      </c>
      <c r="K72" s="8">
        <v>120</v>
      </c>
      <c r="L72" s="9" t="s">
        <v>982</v>
      </c>
      <c r="M72" s="9" t="s">
        <v>1015</v>
      </c>
      <c r="N72" s="8">
        <v>0</v>
      </c>
      <c r="O72" s="8">
        <v>232</v>
      </c>
      <c r="P72" s="8">
        <v>2</v>
      </c>
      <c r="Q72" s="8" t="str">
        <f>VLOOKUP(patient[[#This Row],[ID_mutuelle]],mutuelle[],2,FALSE)</f>
        <v>MUTUELLE VAROISE DES TRAVAILLEURS DE L'ETAT</v>
      </c>
    </row>
    <row r="73" spans="1:17" x14ac:dyDescent="0.3">
      <c r="A73" s="8">
        <v>403</v>
      </c>
      <c r="B73" s="9" t="s">
        <v>1264</v>
      </c>
      <c r="C73" s="9" t="s">
        <v>1265</v>
      </c>
      <c r="D73" s="9" t="s">
        <v>1266</v>
      </c>
      <c r="E73" s="8">
        <v>75263</v>
      </c>
      <c r="F73" s="9" t="s">
        <v>83</v>
      </c>
      <c r="G73" s="9" t="s">
        <v>1267</v>
      </c>
      <c r="H73" s="8">
        <v>684556773</v>
      </c>
      <c r="I73" s="8">
        <v>43</v>
      </c>
      <c r="J73" s="8">
        <v>102</v>
      </c>
      <c r="K73" s="8">
        <v>200</v>
      </c>
      <c r="L73" s="9" t="s">
        <v>987</v>
      </c>
      <c r="M73" s="9" t="s">
        <v>988</v>
      </c>
      <c r="N73" s="8">
        <v>0</v>
      </c>
      <c r="O73" s="8">
        <v>153</v>
      </c>
      <c r="P73" s="8">
        <v>3</v>
      </c>
      <c r="Q73" s="8" t="str">
        <f>VLOOKUP(patient[[#This Row],[ID_mutuelle]],mutuelle[],2,FALSE)</f>
        <v>MUTUELLE DU MINISTERE DE LA JUSTICE</v>
      </c>
    </row>
    <row r="74" spans="1:17" x14ac:dyDescent="0.3">
      <c r="A74" s="8">
        <v>404</v>
      </c>
      <c r="B74" s="9" t="s">
        <v>1268</v>
      </c>
      <c r="C74" s="9" t="s">
        <v>1269</v>
      </c>
      <c r="D74" s="9" t="s">
        <v>1270</v>
      </c>
      <c r="E74" s="8">
        <v>95912</v>
      </c>
      <c r="F74" s="9" t="s">
        <v>129</v>
      </c>
      <c r="G74" s="9" t="s">
        <v>1271</v>
      </c>
      <c r="H74" s="8">
        <v>660778900</v>
      </c>
      <c r="I74" s="8">
        <v>32</v>
      </c>
      <c r="J74" s="8">
        <v>35</v>
      </c>
      <c r="K74" s="8">
        <v>207</v>
      </c>
      <c r="L74" s="9" t="s">
        <v>987</v>
      </c>
      <c r="M74" s="9" t="s">
        <v>998</v>
      </c>
      <c r="N74" s="8">
        <v>1</v>
      </c>
      <c r="O74" s="8">
        <v>173</v>
      </c>
      <c r="P74" s="8">
        <v>2</v>
      </c>
      <c r="Q74" s="8" t="str">
        <f>VLOOKUP(patient[[#This Row],[ID_mutuelle]],mutuelle[],2,FALSE)</f>
        <v>MUTUELLE FAMILIALE DE LA REUNION</v>
      </c>
    </row>
    <row r="75" spans="1:17" x14ac:dyDescent="0.3">
      <c r="A75" s="8">
        <v>405</v>
      </c>
      <c r="B75" s="9" t="s">
        <v>1272</v>
      </c>
      <c r="C75" s="9" t="s">
        <v>1273</v>
      </c>
      <c r="D75" s="9" t="s">
        <v>1274</v>
      </c>
      <c r="E75" s="8">
        <v>95933</v>
      </c>
      <c r="F75" s="9" t="s">
        <v>89</v>
      </c>
      <c r="G75" s="9" t="s">
        <v>1275</v>
      </c>
      <c r="H75" s="8">
        <v>629611564</v>
      </c>
      <c r="I75" s="8">
        <v>24</v>
      </c>
      <c r="J75" s="8">
        <v>121</v>
      </c>
      <c r="K75" s="8">
        <v>201</v>
      </c>
      <c r="L75" s="9" t="s">
        <v>987</v>
      </c>
      <c r="M75" s="9" t="s">
        <v>993</v>
      </c>
      <c r="N75" s="8">
        <v>1</v>
      </c>
      <c r="O75" s="8">
        <v>176</v>
      </c>
      <c r="P75" s="8">
        <v>2</v>
      </c>
      <c r="Q75" s="8" t="str">
        <f>VLOOKUP(patient[[#This Row],[ID_mutuelle]],mutuelle[],2,FALSE)</f>
        <v>MUTUELLE FAMILIALE DES TRAVAILLEURS DU GROUPE SAFRAN</v>
      </c>
    </row>
    <row r="76" spans="1:17" x14ac:dyDescent="0.3">
      <c r="A76" s="8">
        <v>406</v>
      </c>
      <c r="B76" s="9" t="s">
        <v>1276</v>
      </c>
      <c r="C76" s="9" t="s">
        <v>1277</v>
      </c>
      <c r="D76" s="9" t="s">
        <v>1278</v>
      </c>
      <c r="E76" s="8">
        <v>91357</v>
      </c>
      <c r="F76" s="9" t="s">
        <v>257</v>
      </c>
      <c r="G76" s="9" t="s">
        <v>1279</v>
      </c>
      <c r="H76" s="8">
        <v>675845246</v>
      </c>
      <c r="I76" s="8">
        <v>18</v>
      </c>
      <c r="J76" s="8">
        <v>35</v>
      </c>
      <c r="K76" s="8">
        <v>228</v>
      </c>
      <c r="L76" s="9" t="s">
        <v>982</v>
      </c>
      <c r="M76" s="9" t="s">
        <v>993</v>
      </c>
      <c r="N76" s="8">
        <v>0</v>
      </c>
      <c r="O76" s="8">
        <v>165</v>
      </c>
      <c r="P76" s="8">
        <v>2</v>
      </c>
      <c r="Q76" s="8" t="str">
        <f>VLOOKUP(patient[[#This Row],[ID_mutuelle]],mutuelle[],2,FALSE)</f>
        <v>MUTUELLE DU TELEGRAMME</v>
      </c>
    </row>
    <row r="77" spans="1:17" x14ac:dyDescent="0.3">
      <c r="A77" s="8">
        <v>407</v>
      </c>
      <c r="B77" s="9" t="s">
        <v>1280</v>
      </c>
      <c r="C77" s="9" t="s">
        <v>1281</v>
      </c>
      <c r="D77" s="9" t="s">
        <v>1282</v>
      </c>
      <c r="E77" s="8">
        <v>95191</v>
      </c>
      <c r="F77" s="9" t="s">
        <v>477</v>
      </c>
      <c r="G77" s="9" t="s">
        <v>1283</v>
      </c>
      <c r="H77" s="8">
        <v>655733212</v>
      </c>
      <c r="I77" s="8">
        <v>98</v>
      </c>
      <c r="J77" s="8">
        <v>15</v>
      </c>
      <c r="K77" s="8">
        <v>111</v>
      </c>
      <c r="L77" s="9" t="s">
        <v>982</v>
      </c>
      <c r="M77" s="9" t="s">
        <v>993</v>
      </c>
      <c r="N77" s="8">
        <v>1</v>
      </c>
      <c r="O77" s="8">
        <v>48</v>
      </c>
      <c r="P77" s="8">
        <v>3</v>
      </c>
      <c r="Q77" s="8" t="str">
        <f>VLOOKUP(patient[[#This Row],[ID_mutuelle]],mutuelle[],2,FALSE)</f>
        <v>MACIF MUTUALITE</v>
      </c>
    </row>
    <row r="78" spans="1:17" x14ac:dyDescent="0.3">
      <c r="A78" s="8">
        <v>408</v>
      </c>
      <c r="B78" s="9" t="s">
        <v>1284</v>
      </c>
      <c r="C78" s="9" t="s">
        <v>1285</v>
      </c>
      <c r="D78" s="9" t="s">
        <v>1286</v>
      </c>
      <c r="E78" s="8">
        <v>78286</v>
      </c>
      <c r="F78" s="9" t="s">
        <v>213</v>
      </c>
      <c r="G78" s="9" t="s">
        <v>1287</v>
      </c>
      <c r="H78" s="8">
        <v>680381425</v>
      </c>
      <c r="I78" s="8">
        <v>58</v>
      </c>
      <c r="J78" s="8">
        <v>19</v>
      </c>
      <c r="K78" s="8">
        <v>112</v>
      </c>
      <c r="L78" s="9" t="s">
        <v>982</v>
      </c>
      <c r="M78" s="9" t="s">
        <v>1045</v>
      </c>
      <c r="N78" s="8">
        <v>0</v>
      </c>
      <c r="O78" s="8">
        <v>118</v>
      </c>
      <c r="P78" s="8">
        <v>3</v>
      </c>
      <c r="Q78" s="8" t="str">
        <f>VLOOKUP(patient[[#This Row],[ID_mutuelle]],mutuelle[],2,FALSE)</f>
        <v>MUTUELLE DES ANCIENS DES CHANTIERS LA ROCHELLE-PALLICE</v>
      </c>
    </row>
    <row r="79" spans="1:17" x14ac:dyDescent="0.3">
      <c r="A79" s="8">
        <v>409</v>
      </c>
      <c r="B79" s="9" t="s">
        <v>1288</v>
      </c>
      <c r="C79" s="9" t="s">
        <v>1289</v>
      </c>
      <c r="D79" s="9" t="s">
        <v>1290</v>
      </c>
      <c r="E79" s="8">
        <v>94535</v>
      </c>
      <c r="F79" s="9" t="s">
        <v>58</v>
      </c>
      <c r="G79" s="9" t="s">
        <v>1291</v>
      </c>
      <c r="H79" s="8">
        <v>627237049</v>
      </c>
      <c r="I79" s="8">
        <v>82</v>
      </c>
      <c r="J79" s="8">
        <v>135</v>
      </c>
      <c r="K79" s="8">
        <v>220</v>
      </c>
      <c r="L79" s="9" t="s">
        <v>987</v>
      </c>
      <c r="M79" s="9" t="s">
        <v>993</v>
      </c>
      <c r="N79" s="8">
        <v>0</v>
      </c>
      <c r="O79" s="8">
        <v>48</v>
      </c>
      <c r="P79" s="8">
        <v>3</v>
      </c>
      <c r="Q79" s="8" t="str">
        <f>VLOOKUP(patient[[#This Row],[ID_mutuelle]],mutuelle[],2,FALSE)</f>
        <v>MACIF MUTUALITE</v>
      </c>
    </row>
    <row r="80" spans="1:17" x14ac:dyDescent="0.3">
      <c r="A80" s="8">
        <v>410</v>
      </c>
      <c r="B80" s="9" t="s">
        <v>1292</v>
      </c>
      <c r="C80" s="9" t="s">
        <v>1293</v>
      </c>
      <c r="D80" s="9" t="s">
        <v>1294</v>
      </c>
      <c r="E80" s="8">
        <v>91527</v>
      </c>
      <c r="F80" s="9" t="s">
        <v>582</v>
      </c>
      <c r="G80" s="9" t="s">
        <v>1295</v>
      </c>
      <c r="H80" s="8">
        <v>655357763</v>
      </c>
      <c r="I80" s="8">
        <v>110</v>
      </c>
      <c r="J80" s="8">
        <v>27</v>
      </c>
      <c r="K80" s="8">
        <v>221</v>
      </c>
      <c r="L80" s="9" t="s">
        <v>987</v>
      </c>
      <c r="M80" s="9" t="s">
        <v>993</v>
      </c>
      <c r="N80" s="8">
        <v>0</v>
      </c>
      <c r="O80" s="8">
        <v>245</v>
      </c>
      <c r="P80" s="8">
        <v>3</v>
      </c>
      <c r="Q80" s="8" t="str">
        <f>VLOOKUP(patient[[#This Row],[ID_mutuelle]],mutuelle[],2,FALSE)</f>
        <v>SANTEMUT ROANNE</v>
      </c>
    </row>
    <row r="81" spans="1:17" x14ac:dyDescent="0.3">
      <c r="A81" s="8">
        <v>411</v>
      </c>
      <c r="B81" s="9" t="s">
        <v>1296</v>
      </c>
      <c r="C81" s="9" t="s">
        <v>1297</v>
      </c>
      <c r="D81" s="9" t="s">
        <v>1298</v>
      </c>
      <c r="E81" s="8">
        <v>94361</v>
      </c>
      <c r="F81" s="9" t="s">
        <v>25</v>
      </c>
      <c r="G81" s="9" t="s">
        <v>1299</v>
      </c>
      <c r="H81" s="8">
        <v>651578137</v>
      </c>
      <c r="I81" s="8">
        <v>110</v>
      </c>
      <c r="J81" s="8">
        <v>148</v>
      </c>
      <c r="K81" s="8">
        <v>199</v>
      </c>
      <c r="L81" s="9" t="s">
        <v>987</v>
      </c>
      <c r="M81" s="9" t="s">
        <v>993</v>
      </c>
      <c r="N81" s="8">
        <v>0</v>
      </c>
      <c r="O81" s="8">
        <v>265</v>
      </c>
      <c r="P81" s="8">
        <v>3</v>
      </c>
      <c r="Q81" s="8" t="str">
        <f>VLOOKUP(patient[[#This Row],[ID_mutuelle]],mutuelle[],2,FALSE)</f>
        <v>UNION HARMONIE MUTUALITE</v>
      </c>
    </row>
    <row r="82" spans="1:17" x14ac:dyDescent="0.3">
      <c r="A82" s="8">
        <v>412</v>
      </c>
      <c r="B82" s="9" t="s">
        <v>1300</v>
      </c>
      <c r="C82" s="9" t="s">
        <v>1301</v>
      </c>
      <c r="D82" s="9" t="s">
        <v>1302</v>
      </c>
      <c r="E82" s="8">
        <v>91869</v>
      </c>
      <c r="F82" s="9" t="s">
        <v>368</v>
      </c>
      <c r="G82" s="9" t="s">
        <v>1303</v>
      </c>
      <c r="H82" s="8">
        <v>648930472</v>
      </c>
      <c r="I82" s="8">
        <v>43</v>
      </c>
      <c r="J82" s="8">
        <v>107</v>
      </c>
      <c r="K82" s="8">
        <v>209</v>
      </c>
      <c r="L82" s="9" t="s">
        <v>982</v>
      </c>
      <c r="M82" s="9" t="s">
        <v>1015</v>
      </c>
      <c r="N82" s="8">
        <v>1</v>
      </c>
      <c r="O82" s="8">
        <v>185</v>
      </c>
      <c r="P82" s="8">
        <v>2</v>
      </c>
      <c r="Q82" s="8" t="str">
        <f>VLOOKUP(patient[[#This Row],[ID_mutuelle]],mutuelle[],2,FALSE)</f>
        <v>MUTUELLE GENERALE SOLIDARITE DE LA REUNION</v>
      </c>
    </row>
    <row r="83" spans="1:17" x14ac:dyDescent="0.3">
      <c r="A83" s="8">
        <v>413</v>
      </c>
      <c r="B83" s="9" t="s">
        <v>1304</v>
      </c>
      <c r="C83" s="9" t="s">
        <v>1305</v>
      </c>
      <c r="D83" s="9" t="s">
        <v>1306</v>
      </c>
      <c r="E83" s="8">
        <v>95623</v>
      </c>
      <c r="F83" s="9" t="s">
        <v>109</v>
      </c>
      <c r="G83" s="9" t="s">
        <v>1307</v>
      </c>
      <c r="H83" s="8">
        <v>672921784</v>
      </c>
      <c r="I83" s="8">
        <v>21</v>
      </c>
      <c r="J83" s="8">
        <v>78</v>
      </c>
      <c r="K83" s="8">
        <v>108</v>
      </c>
      <c r="L83" s="9" t="s">
        <v>987</v>
      </c>
      <c r="M83" s="9" t="s">
        <v>993</v>
      </c>
      <c r="N83" s="8">
        <v>0</v>
      </c>
      <c r="O83" s="8">
        <v>50</v>
      </c>
      <c r="P83" s="8">
        <v>3</v>
      </c>
      <c r="Q83" s="8" t="str">
        <f>VLOOKUP(patient[[#This Row],[ID_mutuelle]],mutuelle[],2,FALSE)</f>
        <v>MATMUT MUTUALITE</v>
      </c>
    </row>
    <row r="84" spans="1:17" x14ac:dyDescent="0.3">
      <c r="A84" s="8">
        <v>414</v>
      </c>
      <c r="B84" s="9" t="s">
        <v>1308</v>
      </c>
      <c r="C84" s="9" t="s">
        <v>1309</v>
      </c>
      <c r="D84" s="9" t="s">
        <v>1310</v>
      </c>
      <c r="E84" s="8">
        <v>95123</v>
      </c>
      <c r="F84" s="9" t="s">
        <v>39</v>
      </c>
      <c r="G84" s="9" t="s">
        <v>1311</v>
      </c>
      <c r="H84" s="8">
        <v>696344244</v>
      </c>
      <c r="I84" s="8">
        <v>11</v>
      </c>
      <c r="J84" s="8">
        <v>51</v>
      </c>
      <c r="K84" s="8">
        <v>204</v>
      </c>
      <c r="L84" s="9" t="s">
        <v>987</v>
      </c>
      <c r="M84" s="9" t="s">
        <v>983</v>
      </c>
      <c r="N84" s="8">
        <v>0</v>
      </c>
      <c r="O84" s="8">
        <v>260</v>
      </c>
      <c r="P84" s="8">
        <v>1</v>
      </c>
      <c r="Q84" s="8" t="str">
        <f>VLOOKUP(patient[[#This Row],[ID_mutuelle]],mutuelle[],2,FALSE)</f>
        <v>SUD-OUEST MUTUALITE</v>
      </c>
    </row>
    <row r="85" spans="1:17" x14ac:dyDescent="0.3">
      <c r="A85" s="8">
        <v>415</v>
      </c>
      <c r="B85" s="9" t="s">
        <v>1312</v>
      </c>
      <c r="C85" s="9" t="s">
        <v>1313</v>
      </c>
      <c r="D85" s="9" t="s">
        <v>1314</v>
      </c>
      <c r="E85" s="8">
        <v>75606</v>
      </c>
      <c r="F85" s="9" t="s">
        <v>114</v>
      </c>
      <c r="G85" s="9" t="s">
        <v>1315</v>
      </c>
      <c r="H85" s="8">
        <v>664268070</v>
      </c>
      <c r="I85" s="8">
        <v>93</v>
      </c>
      <c r="J85" s="8">
        <v>115</v>
      </c>
      <c r="K85" s="8">
        <v>96</v>
      </c>
      <c r="L85" s="9" t="s">
        <v>987</v>
      </c>
      <c r="M85" s="9" t="s">
        <v>1077</v>
      </c>
      <c r="N85" s="8">
        <v>1</v>
      </c>
      <c r="O85" s="8">
        <v>101</v>
      </c>
      <c r="P85" s="8">
        <v>2</v>
      </c>
      <c r="Q85" s="8" t="str">
        <f>VLOOKUP(patient[[#This Row],[ID_mutuelle]],mutuelle[],2,FALSE)</f>
        <v>MUTUELLE DE L'ENTREPRISE CITRAM</v>
      </c>
    </row>
    <row r="86" spans="1:17" x14ac:dyDescent="0.3">
      <c r="A86" s="8">
        <v>416</v>
      </c>
      <c r="B86" s="9" t="s">
        <v>1316</v>
      </c>
      <c r="C86" s="9" t="s">
        <v>1317</v>
      </c>
      <c r="D86" s="9" t="s">
        <v>1318</v>
      </c>
      <c r="E86" s="8">
        <v>91409</v>
      </c>
      <c r="F86" s="9" t="s">
        <v>257</v>
      </c>
      <c r="G86" s="9" t="s">
        <v>1319</v>
      </c>
      <c r="H86" s="8">
        <v>621289135</v>
      </c>
      <c r="I86" s="8">
        <v>80</v>
      </c>
      <c r="J86" s="8">
        <v>55</v>
      </c>
      <c r="K86" s="8">
        <v>218</v>
      </c>
      <c r="L86" s="9" t="s">
        <v>982</v>
      </c>
      <c r="M86" s="9" t="s">
        <v>993</v>
      </c>
      <c r="N86" s="8">
        <v>0</v>
      </c>
      <c r="O86" s="8">
        <v>74</v>
      </c>
      <c r="P86" s="8">
        <v>2</v>
      </c>
      <c r="Q86" s="8" t="str">
        <f>VLOOKUP(patient[[#This Row],[ID_mutuelle]],mutuelle[],2,FALSE)</f>
        <v>MUTUELLE AIDE ET SOLIDARITE</v>
      </c>
    </row>
    <row r="87" spans="1:17" x14ac:dyDescent="0.3">
      <c r="A87" s="8">
        <v>417</v>
      </c>
      <c r="B87" s="9" t="s">
        <v>1320</v>
      </c>
      <c r="C87" s="9" t="s">
        <v>1321</v>
      </c>
      <c r="D87" s="9" t="s">
        <v>1322</v>
      </c>
      <c r="E87" s="8">
        <v>94940</v>
      </c>
      <c r="F87" s="9" t="s">
        <v>269</v>
      </c>
      <c r="G87" s="9" t="s">
        <v>1323</v>
      </c>
      <c r="H87" s="8">
        <v>679662734</v>
      </c>
      <c r="I87" s="8">
        <v>71</v>
      </c>
      <c r="J87" s="8">
        <v>124</v>
      </c>
      <c r="K87" s="8">
        <v>185</v>
      </c>
      <c r="L87" s="9" t="s">
        <v>987</v>
      </c>
      <c r="M87" s="9" t="s">
        <v>988</v>
      </c>
      <c r="N87" s="8">
        <v>1</v>
      </c>
      <c r="O87" s="8">
        <v>119</v>
      </c>
      <c r="P87" s="8">
        <v>2</v>
      </c>
      <c r="Q87" s="8" t="str">
        <f>VLOOKUP(patient[[#This Row],[ID_mutuelle]],mutuelle[],2,FALSE)</f>
        <v>MUTUELLE DES AUTEURS COMPOSITEURS ET EDITEURS DE MUSIQUE</v>
      </c>
    </row>
    <row r="88" spans="1:17" x14ac:dyDescent="0.3">
      <c r="A88" s="8">
        <v>418</v>
      </c>
      <c r="B88" s="9" t="s">
        <v>1324</v>
      </c>
      <c r="C88" s="9" t="s">
        <v>1325</v>
      </c>
      <c r="D88" s="9" t="s">
        <v>1326</v>
      </c>
      <c r="E88" s="8">
        <v>78747</v>
      </c>
      <c r="F88" s="9" t="s">
        <v>189</v>
      </c>
      <c r="G88" s="9" t="s">
        <v>1327</v>
      </c>
      <c r="H88" s="8">
        <v>647464842</v>
      </c>
      <c r="I88" s="8">
        <v>37</v>
      </c>
      <c r="J88" s="8">
        <v>72</v>
      </c>
      <c r="K88" s="8">
        <v>129</v>
      </c>
      <c r="L88" s="9" t="s">
        <v>982</v>
      </c>
      <c r="M88" s="9" t="s">
        <v>993</v>
      </c>
      <c r="N88" s="8">
        <v>1</v>
      </c>
      <c r="O88" s="8">
        <v>62</v>
      </c>
      <c r="P88" s="8">
        <v>2</v>
      </c>
      <c r="Q88" s="8" t="str">
        <f>VLOOKUP(patient[[#This Row],[ID_mutuelle]],mutuelle[],2,FALSE)</f>
        <v>MUTAERO</v>
      </c>
    </row>
    <row r="89" spans="1:17" x14ac:dyDescent="0.3">
      <c r="A89" s="8">
        <v>419</v>
      </c>
      <c r="B89" s="9" t="s">
        <v>1328</v>
      </c>
      <c r="C89" s="9" t="s">
        <v>1329</v>
      </c>
      <c r="D89" s="9" t="s">
        <v>1330</v>
      </c>
      <c r="E89" s="8">
        <v>78477</v>
      </c>
      <c r="F89" s="9" t="s">
        <v>340</v>
      </c>
      <c r="G89" s="9" t="s">
        <v>1331</v>
      </c>
      <c r="H89" s="8">
        <v>611469442</v>
      </c>
      <c r="I89" s="8">
        <v>62</v>
      </c>
      <c r="J89" s="8">
        <v>12</v>
      </c>
      <c r="K89" s="8">
        <v>217</v>
      </c>
      <c r="L89" s="9" t="s">
        <v>987</v>
      </c>
      <c r="M89" s="9" t="s">
        <v>1045</v>
      </c>
      <c r="N89" s="8">
        <v>1</v>
      </c>
      <c r="O89" s="8">
        <v>176</v>
      </c>
      <c r="P89" s="8">
        <v>3</v>
      </c>
      <c r="Q89" s="8" t="str">
        <f>VLOOKUP(patient[[#This Row],[ID_mutuelle]],mutuelle[],2,FALSE)</f>
        <v>MUTUELLE FAMILIALE DES TRAVAILLEURS DU GROUPE SAFRAN</v>
      </c>
    </row>
    <row r="90" spans="1:17" x14ac:dyDescent="0.3">
      <c r="A90" s="8">
        <v>420</v>
      </c>
      <c r="B90" s="9" t="s">
        <v>1332</v>
      </c>
      <c r="C90" s="9" t="s">
        <v>1333</v>
      </c>
      <c r="D90" s="9" t="s">
        <v>1334</v>
      </c>
      <c r="E90" s="8">
        <v>78227</v>
      </c>
      <c r="F90" s="9" t="s">
        <v>288</v>
      </c>
      <c r="G90" s="9" t="s">
        <v>1335</v>
      </c>
      <c r="H90" s="8">
        <v>676820678</v>
      </c>
      <c r="I90" s="8">
        <v>11</v>
      </c>
      <c r="J90" s="8">
        <v>45</v>
      </c>
      <c r="K90" s="8">
        <v>193</v>
      </c>
      <c r="L90" s="9" t="s">
        <v>987</v>
      </c>
      <c r="M90" s="9" t="s">
        <v>1032</v>
      </c>
      <c r="N90" s="8">
        <v>1</v>
      </c>
      <c r="O90" s="8">
        <v>184</v>
      </c>
      <c r="P90" s="8">
        <v>3</v>
      </c>
      <c r="Q90" s="8" t="str">
        <f>VLOOKUP(patient[[#This Row],[ID_mutuelle]],mutuelle[],2,FALSE)</f>
        <v>MUTUELLE GENERALE INTERPROFESSIONNELLE</v>
      </c>
    </row>
    <row r="91" spans="1:17" x14ac:dyDescent="0.3">
      <c r="A91" s="8">
        <v>421</v>
      </c>
      <c r="B91" s="9" t="s">
        <v>1336</v>
      </c>
      <c r="C91" s="9" t="s">
        <v>1180</v>
      </c>
      <c r="D91" s="9" t="s">
        <v>1337</v>
      </c>
      <c r="E91" s="8">
        <v>92817</v>
      </c>
      <c r="F91" s="9" t="s">
        <v>77</v>
      </c>
      <c r="G91" s="9" t="s">
        <v>1338</v>
      </c>
      <c r="H91" s="8">
        <v>613277856</v>
      </c>
      <c r="I91" s="8">
        <v>83</v>
      </c>
      <c r="J91" s="8">
        <v>82</v>
      </c>
      <c r="K91" s="8">
        <v>100</v>
      </c>
      <c r="L91" s="9" t="s">
        <v>982</v>
      </c>
      <c r="M91" s="9" t="s">
        <v>993</v>
      </c>
      <c r="N91" s="8">
        <v>0</v>
      </c>
      <c r="O91" s="8">
        <v>266</v>
      </c>
      <c r="P91" s="8">
        <v>2</v>
      </c>
      <c r="Q91" s="8" t="str">
        <f>VLOOKUP(patient[[#This Row],[ID_mutuelle]],mutuelle[],2,FALSE)</f>
        <v>UNION MUTUALISTE DE PREVOYANCE</v>
      </c>
    </row>
    <row r="92" spans="1:17" x14ac:dyDescent="0.3">
      <c r="A92" s="8">
        <v>422</v>
      </c>
      <c r="B92" s="9" t="s">
        <v>1339</v>
      </c>
      <c r="C92" s="9" t="s">
        <v>1340</v>
      </c>
      <c r="D92" s="9" t="s">
        <v>1341</v>
      </c>
      <c r="E92" s="8">
        <v>92764</v>
      </c>
      <c r="F92" s="9" t="s">
        <v>582</v>
      </c>
      <c r="G92" s="9" t="s">
        <v>1342</v>
      </c>
      <c r="H92" s="8">
        <v>659282209</v>
      </c>
      <c r="I92" s="8">
        <v>76</v>
      </c>
      <c r="J92" s="8">
        <v>92</v>
      </c>
      <c r="K92" s="8">
        <v>160</v>
      </c>
      <c r="L92" s="9" t="s">
        <v>987</v>
      </c>
      <c r="M92" s="9" t="s">
        <v>1045</v>
      </c>
      <c r="N92" s="8">
        <v>0</v>
      </c>
      <c r="O92" s="8">
        <v>126</v>
      </c>
      <c r="P92" s="8">
        <v>1</v>
      </c>
      <c r="Q92" s="8" t="str">
        <f>VLOOKUP(patient[[#This Row],[ID_mutuelle]],mutuelle[],2,FALSE)</f>
        <v>MUTUELLE DES ETUDIANTS DE BRETAGNE ATLANTIQUE MAINE ANJOU VENDEE</v>
      </c>
    </row>
    <row r="93" spans="1:17" x14ac:dyDescent="0.3">
      <c r="A93" s="8">
        <v>423</v>
      </c>
      <c r="B93" s="9" t="s">
        <v>1343</v>
      </c>
      <c r="C93" s="9" t="s">
        <v>1344</v>
      </c>
      <c r="D93" s="9" t="s">
        <v>1345</v>
      </c>
      <c r="E93" s="8">
        <v>95590</v>
      </c>
      <c r="F93" s="9" t="s">
        <v>288</v>
      </c>
      <c r="G93" s="9" t="s">
        <v>1346</v>
      </c>
      <c r="H93" s="8">
        <v>627615745</v>
      </c>
      <c r="I93" s="8">
        <v>1</v>
      </c>
      <c r="J93" s="8">
        <v>95</v>
      </c>
      <c r="K93" s="8">
        <v>116</v>
      </c>
      <c r="L93" s="9" t="s">
        <v>987</v>
      </c>
      <c r="M93" s="9" t="s">
        <v>993</v>
      </c>
      <c r="N93" s="8">
        <v>0</v>
      </c>
      <c r="O93" s="8">
        <v>39</v>
      </c>
      <c r="P93" s="8">
        <v>2</v>
      </c>
      <c r="Q93" s="8" t="str">
        <f>VLOOKUP(patient[[#This Row],[ID_mutuelle]],mutuelle[],2,FALSE)</f>
        <v>LA MUTUELLE GENERALE</v>
      </c>
    </row>
    <row r="94" spans="1:17" x14ac:dyDescent="0.3">
      <c r="A94" s="8">
        <v>424</v>
      </c>
      <c r="B94" s="9" t="s">
        <v>1347</v>
      </c>
      <c r="C94" s="9" t="s">
        <v>1348</v>
      </c>
      <c r="D94" s="9" t="s">
        <v>1349</v>
      </c>
      <c r="E94" s="8">
        <v>94557</v>
      </c>
      <c r="F94" s="9" t="s">
        <v>582</v>
      </c>
      <c r="G94" s="9" t="s">
        <v>1350</v>
      </c>
      <c r="H94" s="8">
        <v>634326435</v>
      </c>
      <c r="I94" s="8">
        <v>100</v>
      </c>
      <c r="J94" s="8">
        <v>42</v>
      </c>
      <c r="K94" s="8">
        <v>149</v>
      </c>
      <c r="L94" s="9" t="s">
        <v>982</v>
      </c>
      <c r="M94" s="9" t="s">
        <v>1045</v>
      </c>
      <c r="N94" s="8">
        <v>0</v>
      </c>
      <c r="O94" s="8">
        <v>259</v>
      </c>
      <c r="P94" s="8">
        <v>3</v>
      </c>
      <c r="Q94" s="8" t="str">
        <f>VLOOKUP(patient[[#This Row],[ID_mutuelle]],mutuelle[],2,FALSE)</f>
        <v>SORUAL</v>
      </c>
    </row>
    <row r="95" spans="1:17" x14ac:dyDescent="0.3">
      <c r="A95" s="8">
        <v>425</v>
      </c>
      <c r="B95" s="9" t="s">
        <v>1351</v>
      </c>
      <c r="C95" s="9" t="s">
        <v>1352</v>
      </c>
      <c r="D95" s="9" t="s">
        <v>1353</v>
      </c>
      <c r="E95" s="8">
        <v>75482</v>
      </c>
      <c r="F95" s="9" t="s">
        <v>269</v>
      </c>
      <c r="G95" s="9" t="s">
        <v>1354</v>
      </c>
      <c r="H95" s="8">
        <v>669069106</v>
      </c>
      <c r="I95" s="8">
        <v>99</v>
      </c>
      <c r="J95" s="8">
        <v>135</v>
      </c>
      <c r="K95" s="8">
        <v>169</v>
      </c>
      <c r="L95" s="9" t="s">
        <v>982</v>
      </c>
      <c r="M95" s="9" t="s">
        <v>993</v>
      </c>
      <c r="N95" s="8">
        <v>1</v>
      </c>
      <c r="O95" s="8">
        <v>222</v>
      </c>
      <c r="P95" s="8">
        <v>3</v>
      </c>
      <c r="Q95" s="8" t="str">
        <f>VLOOKUP(patient[[#This Row],[ID_mutuelle]],mutuelle[],2,FALSE)</f>
        <v>MUTUELLE SAINT AUBANNAISE</v>
      </c>
    </row>
    <row r="96" spans="1:17" x14ac:dyDescent="0.3">
      <c r="A96" s="8">
        <v>426</v>
      </c>
      <c r="B96" s="9" t="s">
        <v>1355</v>
      </c>
      <c r="C96" s="9" t="s">
        <v>384</v>
      </c>
      <c r="D96" s="9" t="s">
        <v>1356</v>
      </c>
      <c r="E96" s="8">
        <v>75532</v>
      </c>
      <c r="F96" s="9" t="s">
        <v>288</v>
      </c>
      <c r="G96" s="9" t="s">
        <v>1357</v>
      </c>
      <c r="H96" s="8">
        <v>667883272</v>
      </c>
      <c r="I96" s="8">
        <v>36</v>
      </c>
      <c r="J96" s="8">
        <v>53</v>
      </c>
      <c r="K96" s="8">
        <v>149</v>
      </c>
      <c r="L96" s="9" t="s">
        <v>987</v>
      </c>
      <c r="M96" s="9" t="s">
        <v>1015</v>
      </c>
      <c r="N96" s="8">
        <v>0</v>
      </c>
      <c r="O96" s="8">
        <v>239</v>
      </c>
      <c r="P96" s="8">
        <v>2</v>
      </c>
      <c r="Q96" s="8" t="str">
        <f>VLOOKUP(patient[[#This Row],[ID_mutuelle]],mutuelle[],2,FALSE)</f>
        <v>OCEANE SANTE - SAINTE PHILOMENE</v>
      </c>
    </row>
    <row r="97" spans="1:17" x14ac:dyDescent="0.3">
      <c r="A97" s="8">
        <v>427</v>
      </c>
      <c r="B97" s="9" t="s">
        <v>1358</v>
      </c>
      <c r="C97" s="9" t="s">
        <v>1359</v>
      </c>
      <c r="D97" s="9" t="s">
        <v>1360</v>
      </c>
      <c r="E97" s="8">
        <v>75299</v>
      </c>
      <c r="F97" s="9" t="s">
        <v>213</v>
      </c>
      <c r="G97" s="9" t="s">
        <v>1361</v>
      </c>
      <c r="H97" s="8">
        <v>627996495</v>
      </c>
      <c r="I97" s="8">
        <v>39</v>
      </c>
      <c r="J97" s="8">
        <v>3</v>
      </c>
      <c r="K97" s="8">
        <v>86</v>
      </c>
      <c r="L97" s="9" t="s">
        <v>987</v>
      </c>
      <c r="M97" s="9" t="s">
        <v>993</v>
      </c>
      <c r="N97" s="8">
        <v>1</v>
      </c>
      <c r="O97" s="8">
        <v>164</v>
      </c>
      <c r="P97" s="8">
        <v>3</v>
      </c>
      <c r="Q97" s="8" t="str">
        <f>VLOOKUP(patient[[#This Row],[ID_mutuelle]],mutuelle[],2,FALSE)</f>
        <v>MUTUELLE DU PORT DE BORDEAUX</v>
      </c>
    </row>
    <row r="98" spans="1:17" x14ac:dyDescent="0.3">
      <c r="A98" s="8">
        <v>428</v>
      </c>
      <c r="B98" s="9" t="s">
        <v>1362</v>
      </c>
      <c r="C98" s="9" t="s">
        <v>1363</v>
      </c>
      <c r="D98" s="9" t="s">
        <v>1364</v>
      </c>
      <c r="E98" s="8">
        <v>78366</v>
      </c>
      <c r="F98" s="9" t="s">
        <v>65</v>
      </c>
      <c r="G98" s="9" t="s">
        <v>1365</v>
      </c>
      <c r="H98" s="8">
        <v>698270286</v>
      </c>
      <c r="I98" s="8">
        <v>99</v>
      </c>
      <c r="J98" s="8">
        <v>19</v>
      </c>
      <c r="K98" s="8">
        <v>185</v>
      </c>
      <c r="L98" s="9" t="s">
        <v>982</v>
      </c>
      <c r="M98" s="9" t="s">
        <v>993</v>
      </c>
      <c r="N98" s="8">
        <v>1</v>
      </c>
      <c r="O98" s="8">
        <v>152</v>
      </c>
      <c r="P98" s="8">
        <v>2</v>
      </c>
      <c r="Q98" s="8" t="str">
        <f>VLOOKUP(patient[[#This Row],[ID_mutuelle]],mutuelle[],2,FALSE)</f>
        <v>MUTUELLE DU LOGEMENT</v>
      </c>
    </row>
    <row r="99" spans="1:17" x14ac:dyDescent="0.3">
      <c r="A99" s="8">
        <v>429</v>
      </c>
      <c r="B99" s="9" t="s">
        <v>1366</v>
      </c>
      <c r="C99" s="9" t="s">
        <v>1367</v>
      </c>
      <c r="D99" s="9" t="s">
        <v>1368</v>
      </c>
      <c r="E99" s="8">
        <v>93975</v>
      </c>
      <c r="F99" s="9" t="s">
        <v>58</v>
      </c>
      <c r="G99" s="9" t="s">
        <v>1369</v>
      </c>
      <c r="H99" s="8">
        <v>645017686</v>
      </c>
      <c r="I99" s="8">
        <v>97</v>
      </c>
      <c r="J99" s="8">
        <v>74</v>
      </c>
      <c r="K99" s="8">
        <v>139</v>
      </c>
      <c r="L99" s="9" t="s">
        <v>982</v>
      </c>
      <c r="M99" s="9" t="s">
        <v>1077</v>
      </c>
      <c r="N99" s="8">
        <v>0</v>
      </c>
      <c r="O99" s="8">
        <v>97</v>
      </c>
      <c r="P99" s="8">
        <v>3</v>
      </c>
      <c r="Q99" s="8" t="str">
        <f>VLOOKUP(patient[[#This Row],[ID_mutuelle]],mutuelle[],2,FALSE)</f>
        <v>MUTUELLE DE FRANCE DU LACYDON</v>
      </c>
    </row>
    <row r="100" spans="1:17" x14ac:dyDescent="0.3">
      <c r="A100" s="8">
        <v>430</v>
      </c>
      <c r="B100" s="9" t="s">
        <v>1370</v>
      </c>
      <c r="C100" s="9" t="s">
        <v>1371</v>
      </c>
      <c r="D100" s="9" t="s">
        <v>1372</v>
      </c>
      <c r="E100" s="8">
        <v>91725</v>
      </c>
      <c r="F100" s="9" t="s">
        <v>109</v>
      </c>
      <c r="G100" s="9" t="s">
        <v>1373</v>
      </c>
      <c r="H100" s="8">
        <v>687103565</v>
      </c>
      <c r="I100" s="8">
        <v>104</v>
      </c>
      <c r="J100" s="8">
        <v>104</v>
      </c>
      <c r="K100" s="8">
        <v>151</v>
      </c>
      <c r="L100" s="9" t="s">
        <v>987</v>
      </c>
      <c r="M100" s="9" t="s">
        <v>1032</v>
      </c>
      <c r="N100" s="8">
        <v>0</v>
      </c>
      <c r="O100" s="8">
        <v>91</v>
      </c>
      <c r="P100" s="8">
        <v>2</v>
      </c>
      <c r="Q100" s="8" t="str">
        <f>VLOOKUP(patient[[#This Row],[ID_mutuelle]],mutuelle[],2,FALSE)</f>
        <v>MUTUELLE D'EPARGNE DE RETRAITE ET DE PREVOYANCE CARAC</v>
      </c>
    </row>
    <row r="101" spans="1:17" x14ac:dyDescent="0.3">
      <c r="A101" s="8">
        <v>431</v>
      </c>
      <c r="B101" s="9" t="s">
        <v>1374</v>
      </c>
      <c r="C101" s="9" t="s">
        <v>1375</v>
      </c>
      <c r="D101" s="9" t="s">
        <v>1376</v>
      </c>
      <c r="E101" s="8">
        <v>75728</v>
      </c>
      <c r="F101" s="9" t="s">
        <v>83</v>
      </c>
      <c r="G101" s="9" t="s">
        <v>1377</v>
      </c>
      <c r="H101" s="8">
        <v>621799396</v>
      </c>
      <c r="I101" s="8">
        <v>37</v>
      </c>
      <c r="J101" s="8">
        <v>46</v>
      </c>
      <c r="K101" s="8">
        <v>215</v>
      </c>
      <c r="L101" s="9" t="s">
        <v>987</v>
      </c>
      <c r="M101" s="9" t="s">
        <v>998</v>
      </c>
      <c r="N101" s="8">
        <v>0</v>
      </c>
      <c r="O101" s="8">
        <v>174</v>
      </c>
      <c r="P101" s="8">
        <v>1</v>
      </c>
      <c r="Q101" s="8" t="str">
        <f>VLOOKUP(patient[[#This Row],[ID_mutuelle]],mutuelle[],2,FALSE)</f>
        <v>MUTUELLE FAMILIALE DE NORMANDIE</v>
      </c>
    </row>
    <row r="102" spans="1:17" x14ac:dyDescent="0.3">
      <c r="A102" s="8">
        <v>432</v>
      </c>
      <c r="B102" s="9" t="s">
        <v>1378</v>
      </c>
      <c r="C102" s="9" t="s">
        <v>1379</v>
      </c>
      <c r="D102" s="9" t="s">
        <v>1380</v>
      </c>
      <c r="E102" s="8">
        <v>78390</v>
      </c>
      <c r="F102" s="9" t="s">
        <v>274</v>
      </c>
      <c r="G102" s="9" t="s">
        <v>1381</v>
      </c>
      <c r="H102" s="8">
        <v>653470288</v>
      </c>
      <c r="I102" s="8">
        <v>95</v>
      </c>
      <c r="J102" s="8">
        <v>17</v>
      </c>
      <c r="K102" s="8">
        <v>187</v>
      </c>
      <c r="L102" s="9" t="s">
        <v>987</v>
      </c>
      <c r="M102" s="9" t="s">
        <v>1015</v>
      </c>
      <c r="N102" s="8">
        <v>0</v>
      </c>
      <c r="O102" s="8">
        <v>96</v>
      </c>
      <c r="P102" s="8">
        <v>2</v>
      </c>
      <c r="Q102" s="8" t="str">
        <f>VLOOKUP(patient[[#This Row],[ID_mutuelle]],mutuelle[],2,FALSE)</f>
        <v>MUTUELLE DE FRANCE DES HOSPITALIERS</v>
      </c>
    </row>
    <row r="103" spans="1:17" x14ac:dyDescent="0.3">
      <c r="A103" s="8">
        <v>433</v>
      </c>
      <c r="B103" s="9" t="s">
        <v>1382</v>
      </c>
      <c r="C103" s="9" t="s">
        <v>1383</v>
      </c>
      <c r="D103" s="9" t="s">
        <v>1384</v>
      </c>
      <c r="E103" s="8">
        <v>91174</v>
      </c>
      <c r="F103" s="9" t="s">
        <v>288</v>
      </c>
      <c r="G103" s="9" t="s">
        <v>1385</v>
      </c>
      <c r="H103" s="8">
        <v>615329830</v>
      </c>
      <c r="I103" s="8">
        <v>100</v>
      </c>
      <c r="J103" s="8">
        <v>33</v>
      </c>
      <c r="K103" s="8">
        <v>126</v>
      </c>
      <c r="L103" s="9" t="s">
        <v>987</v>
      </c>
      <c r="M103" s="9" t="s">
        <v>983</v>
      </c>
      <c r="N103" s="8">
        <v>0</v>
      </c>
      <c r="O103" s="8">
        <v>50</v>
      </c>
      <c r="P103" s="8">
        <v>3</v>
      </c>
      <c r="Q103" s="8" t="str">
        <f>VLOOKUP(patient[[#This Row],[ID_mutuelle]],mutuelle[],2,FALSE)</f>
        <v>MATMUT MUTUALITE</v>
      </c>
    </row>
    <row r="104" spans="1:17" x14ac:dyDescent="0.3">
      <c r="A104" s="8">
        <v>434</v>
      </c>
      <c r="B104" s="9" t="s">
        <v>1386</v>
      </c>
      <c r="C104" s="9" t="s">
        <v>1387</v>
      </c>
      <c r="D104" s="9" t="s">
        <v>1388</v>
      </c>
      <c r="E104" s="8">
        <v>95585</v>
      </c>
      <c r="F104" s="9" t="s">
        <v>129</v>
      </c>
      <c r="G104" s="9" t="s">
        <v>1389</v>
      </c>
      <c r="H104" s="8">
        <v>659058408</v>
      </c>
      <c r="I104" s="8">
        <v>9</v>
      </c>
      <c r="J104" s="8">
        <v>6</v>
      </c>
      <c r="K104" s="8">
        <v>182</v>
      </c>
      <c r="L104" s="9" t="s">
        <v>987</v>
      </c>
      <c r="M104" s="9" t="s">
        <v>988</v>
      </c>
      <c r="N104" s="8">
        <v>0</v>
      </c>
      <c r="O104" s="8">
        <v>253</v>
      </c>
      <c r="P104" s="8">
        <v>2</v>
      </c>
      <c r="Q104" s="8" t="str">
        <f>VLOOKUP(patient[[#This Row],[ID_mutuelle]],mutuelle[],2,FALSE)</f>
        <v>SOCIETE MUTUALISTE DU SALEVE</v>
      </c>
    </row>
    <row r="105" spans="1:17" x14ac:dyDescent="0.3">
      <c r="A105" s="8">
        <v>435</v>
      </c>
      <c r="B105" s="9" t="s">
        <v>1390</v>
      </c>
      <c r="C105" s="9" t="s">
        <v>1391</v>
      </c>
      <c r="D105" s="9" t="s">
        <v>1392</v>
      </c>
      <c r="E105" s="8">
        <v>78805</v>
      </c>
      <c r="F105" s="9" t="s">
        <v>58</v>
      </c>
      <c r="G105" s="9" t="s">
        <v>1393</v>
      </c>
      <c r="H105" s="8">
        <v>660679330</v>
      </c>
      <c r="I105" s="8">
        <v>64</v>
      </c>
      <c r="J105" s="8">
        <v>32</v>
      </c>
      <c r="K105" s="8">
        <v>219</v>
      </c>
      <c r="L105" s="9" t="s">
        <v>987</v>
      </c>
      <c r="M105" s="9" t="s">
        <v>993</v>
      </c>
      <c r="N105" s="8">
        <v>1</v>
      </c>
      <c r="O105" s="8">
        <v>72</v>
      </c>
      <c r="P105" s="8">
        <v>3</v>
      </c>
      <c r="Q105" s="8" t="str">
        <f>VLOOKUP(patient[[#This Row],[ID_mutuelle]],mutuelle[],2,FALSE)</f>
        <v>MUTUELLE 403</v>
      </c>
    </row>
    <row r="106" spans="1:17" x14ac:dyDescent="0.3">
      <c r="A106" s="8">
        <v>436</v>
      </c>
      <c r="B106" s="9" t="s">
        <v>543</v>
      </c>
      <c r="C106" s="9" t="s">
        <v>1394</v>
      </c>
      <c r="D106" s="9" t="s">
        <v>1395</v>
      </c>
      <c r="E106" s="8">
        <v>92747</v>
      </c>
      <c r="F106" s="9" t="s">
        <v>129</v>
      </c>
      <c r="G106" s="9" t="s">
        <v>1396</v>
      </c>
      <c r="H106" s="8">
        <v>697085438</v>
      </c>
      <c r="I106" s="8">
        <v>2</v>
      </c>
      <c r="J106" s="8">
        <v>78</v>
      </c>
      <c r="K106" s="8">
        <v>183</v>
      </c>
      <c r="L106" s="9" t="s">
        <v>987</v>
      </c>
      <c r="M106" s="9" t="s">
        <v>998</v>
      </c>
      <c r="N106" s="8">
        <v>1</v>
      </c>
      <c r="O106" s="8">
        <v>216</v>
      </c>
      <c r="P106" s="8">
        <v>2</v>
      </c>
      <c r="Q106" s="8" t="str">
        <f>VLOOKUP(patient[[#This Row],[ID_mutuelle]],mutuelle[],2,FALSE)</f>
        <v>MUTUELLE NATIONALE TERRITORIALE</v>
      </c>
    </row>
    <row r="107" spans="1:17" x14ac:dyDescent="0.3">
      <c r="A107" s="8">
        <v>437</v>
      </c>
      <c r="B107" s="9" t="s">
        <v>1397</v>
      </c>
      <c r="C107" s="9" t="s">
        <v>851</v>
      </c>
      <c r="D107" s="9" t="s">
        <v>1398</v>
      </c>
      <c r="E107" s="8">
        <v>94367</v>
      </c>
      <c r="F107" s="9" t="s">
        <v>129</v>
      </c>
      <c r="G107" s="9" t="s">
        <v>1399</v>
      </c>
      <c r="H107" s="8">
        <v>630033380</v>
      </c>
      <c r="I107" s="8">
        <v>9</v>
      </c>
      <c r="J107" s="8">
        <v>75</v>
      </c>
      <c r="K107" s="8">
        <v>147</v>
      </c>
      <c r="L107" s="9" t="s">
        <v>982</v>
      </c>
      <c r="M107" s="9" t="s">
        <v>993</v>
      </c>
      <c r="N107" s="8">
        <v>1</v>
      </c>
      <c r="O107" s="8">
        <v>184</v>
      </c>
      <c r="P107" s="8">
        <v>2</v>
      </c>
      <c r="Q107" s="8" t="str">
        <f>VLOOKUP(patient[[#This Row],[ID_mutuelle]],mutuelle[],2,FALSE)</f>
        <v>MUTUELLE GENERALE INTERPROFESSIONNELLE</v>
      </c>
    </row>
    <row r="108" spans="1:17" x14ac:dyDescent="0.3">
      <c r="A108" s="8">
        <v>438</v>
      </c>
      <c r="B108" s="9" t="s">
        <v>1400</v>
      </c>
      <c r="C108" s="9" t="s">
        <v>1401</v>
      </c>
      <c r="D108" s="9" t="s">
        <v>1402</v>
      </c>
      <c r="E108" s="8">
        <v>93801</v>
      </c>
      <c r="F108" s="9" t="s">
        <v>269</v>
      </c>
      <c r="G108" s="9" t="s">
        <v>1403</v>
      </c>
      <c r="H108" s="8">
        <v>621989518</v>
      </c>
      <c r="I108" s="8">
        <v>14</v>
      </c>
      <c r="J108" s="8">
        <v>70</v>
      </c>
      <c r="K108" s="8">
        <v>148</v>
      </c>
      <c r="L108" s="9" t="s">
        <v>982</v>
      </c>
      <c r="M108" s="9" t="s">
        <v>993</v>
      </c>
      <c r="N108" s="8">
        <v>1</v>
      </c>
      <c r="O108" s="8">
        <v>135</v>
      </c>
      <c r="P108" s="8">
        <v>3</v>
      </c>
      <c r="Q108" s="8" t="str">
        <f>VLOOKUP(patient[[#This Row],[ID_mutuelle]],mutuelle[],2,FALSE)</f>
        <v>MUTUELLE DES PERSONNELS MARITIMES</v>
      </c>
    </row>
    <row r="109" spans="1:17" x14ac:dyDescent="0.3">
      <c r="A109" s="8">
        <v>439</v>
      </c>
      <c r="B109" s="9" t="s">
        <v>1404</v>
      </c>
      <c r="C109" s="9" t="s">
        <v>748</v>
      </c>
      <c r="D109" s="9" t="s">
        <v>1405</v>
      </c>
      <c r="E109" s="8">
        <v>93337</v>
      </c>
      <c r="F109" s="9" t="s">
        <v>340</v>
      </c>
      <c r="G109" s="9" t="s">
        <v>1406</v>
      </c>
      <c r="H109" s="8">
        <v>681219399</v>
      </c>
      <c r="I109" s="8">
        <v>108</v>
      </c>
      <c r="J109" s="8">
        <v>113</v>
      </c>
      <c r="K109" s="8">
        <v>128</v>
      </c>
      <c r="L109" s="9" t="s">
        <v>982</v>
      </c>
      <c r="M109" s="9" t="s">
        <v>983</v>
      </c>
      <c r="N109" s="8">
        <v>0</v>
      </c>
      <c r="O109" s="8">
        <v>111</v>
      </c>
      <c r="P109" s="8">
        <v>3</v>
      </c>
      <c r="Q109" s="8" t="str">
        <f>VLOOKUP(patient[[#This Row],[ID_mutuelle]],mutuelle[],2,FALSE)</f>
        <v>MUTUELLE DE PONTOISE</v>
      </c>
    </row>
    <row r="110" spans="1:17" x14ac:dyDescent="0.3">
      <c r="A110" s="8">
        <v>440</v>
      </c>
      <c r="B110" s="9" t="s">
        <v>1407</v>
      </c>
      <c r="C110" s="9" t="s">
        <v>1408</v>
      </c>
      <c r="D110" s="9" t="s">
        <v>1409</v>
      </c>
      <c r="E110" s="8">
        <v>78707</v>
      </c>
      <c r="F110" s="9" t="s">
        <v>109</v>
      </c>
      <c r="G110" s="9" t="s">
        <v>1410</v>
      </c>
      <c r="H110" s="8">
        <v>666564386</v>
      </c>
      <c r="I110" s="8">
        <v>59</v>
      </c>
      <c r="J110" s="8">
        <v>125</v>
      </c>
      <c r="K110" s="8">
        <v>173</v>
      </c>
      <c r="L110" s="9" t="s">
        <v>987</v>
      </c>
      <c r="M110" s="9" t="s">
        <v>988</v>
      </c>
      <c r="N110" s="8">
        <v>1</v>
      </c>
      <c r="O110" s="8">
        <v>199</v>
      </c>
      <c r="P110" s="8">
        <v>1</v>
      </c>
      <c r="Q110" s="8" t="str">
        <f>VLOOKUP(patient[[#This Row],[ID_mutuelle]],mutuelle[],2,FALSE)</f>
        <v>MUTUELLE LA SOLIDARITE D'AQUITAINE</v>
      </c>
    </row>
    <row r="111" spans="1:17" x14ac:dyDescent="0.3">
      <c r="A111" s="8">
        <v>441</v>
      </c>
      <c r="B111" s="9" t="s">
        <v>1411</v>
      </c>
      <c r="C111" s="9" t="s">
        <v>1412</v>
      </c>
      <c r="D111" s="9" t="s">
        <v>1413</v>
      </c>
      <c r="E111" s="8">
        <v>94371</v>
      </c>
      <c r="F111" s="9" t="s">
        <v>340</v>
      </c>
      <c r="G111" s="9" t="s">
        <v>1414</v>
      </c>
      <c r="H111" s="8">
        <v>679135523</v>
      </c>
      <c r="I111" s="8">
        <v>43</v>
      </c>
      <c r="J111" s="8">
        <v>81</v>
      </c>
      <c r="K111" s="8">
        <v>198</v>
      </c>
      <c r="L111" s="9" t="s">
        <v>987</v>
      </c>
      <c r="M111" s="9" t="s">
        <v>993</v>
      </c>
      <c r="N111" s="8">
        <v>0</v>
      </c>
      <c r="O111" s="8">
        <v>159</v>
      </c>
      <c r="P111" s="8">
        <v>3</v>
      </c>
      <c r="Q111" s="8" t="str">
        <f>VLOOKUP(patient[[#This Row],[ID_mutuelle]],mutuelle[],2,FALSE)</f>
        <v>MUTUELLE DU PERSONNEL DES TRANSPORTS URBAINS DE CANNES - BUS AZUR</v>
      </c>
    </row>
    <row r="112" spans="1:17" x14ac:dyDescent="0.3">
      <c r="A112" s="8">
        <v>442</v>
      </c>
      <c r="B112" s="9" t="s">
        <v>1415</v>
      </c>
      <c r="C112" s="9" t="s">
        <v>1416</v>
      </c>
      <c r="D112" s="9" t="s">
        <v>1417</v>
      </c>
      <c r="E112" s="8">
        <v>92702</v>
      </c>
      <c r="F112" s="9" t="s">
        <v>58</v>
      </c>
      <c r="G112" s="9" t="s">
        <v>1418</v>
      </c>
      <c r="H112" s="8">
        <v>669169882</v>
      </c>
      <c r="I112" s="8">
        <v>100</v>
      </c>
      <c r="J112" s="8">
        <v>6</v>
      </c>
      <c r="K112" s="8">
        <v>120</v>
      </c>
      <c r="L112" s="9" t="s">
        <v>987</v>
      </c>
      <c r="M112" s="9" t="s">
        <v>988</v>
      </c>
      <c r="N112" s="8">
        <v>1</v>
      </c>
      <c r="O112" s="8">
        <v>255</v>
      </c>
      <c r="P112" s="8">
        <v>2</v>
      </c>
      <c r="Q112" s="8" t="str">
        <f>VLOOKUP(patient[[#This Row],[ID_mutuelle]],mutuelle[],2,FALSE)</f>
        <v>SOCIETE MUTUALISTE INTERDEPARTEMENTALE DE BANQUE</v>
      </c>
    </row>
    <row r="113" spans="1:17" x14ac:dyDescent="0.3">
      <c r="A113" s="8">
        <v>443</v>
      </c>
      <c r="B113" s="9" t="s">
        <v>1419</v>
      </c>
      <c r="C113" s="9" t="s">
        <v>1420</v>
      </c>
      <c r="D113" s="9" t="s">
        <v>1421</v>
      </c>
      <c r="E113" s="8">
        <v>92466</v>
      </c>
      <c r="F113" s="9" t="s">
        <v>52</v>
      </c>
      <c r="G113" s="9" t="s">
        <v>1422</v>
      </c>
      <c r="H113" s="8">
        <v>622865311</v>
      </c>
      <c r="I113" s="8">
        <v>89</v>
      </c>
      <c r="J113" s="8">
        <v>36</v>
      </c>
      <c r="K113" s="8">
        <v>140</v>
      </c>
      <c r="L113" s="9" t="s">
        <v>987</v>
      </c>
      <c r="M113" s="9" t="s">
        <v>988</v>
      </c>
      <c r="N113" s="8">
        <v>1</v>
      </c>
      <c r="O113" s="8">
        <v>105</v>
      </c>
      <c r="P113" s="8">
        <v>2</v>
      </c>
      <c r="Q113" s="8" t="str">
        <f>VLOOKUP(patient[[#This Row],[ID_mutuelle]],mutuelle[],2,FALSE)</f>
        <v>MUTUELLE DE L'OISE DES AGENTS TERRITORIAUX</v>
      </c>
    </row>
    <row r="114" spans="1:17" x14ac:dyDescent="0.3">
      <c r="A114" s="8">
        <v>444</v>
      </c>
      <c r="B114" s="9" t="s">
        <v>1423</v>
      </c>
      <c r="C114" s="9" t="s">
        <v>1424</v>
      </c>
      <c r="D114" s="9" t="s">
        <v>38</v>
      </c>
      <c r="E114" s="8">
        <v>94797</v>
      </c>
      <c r="F114" s="9" t="s">
        <v>124</v>
      </c>
      <c r="G114" s="9" t="s">
        <v>1425</v>
      </c>
      <c r="H114" s="8">
        <v>671199064</v>
      </c>
      <c r="I114" s="8">
        <v>104</v>
      </c>
      <c r="J114" s="8">
        <v>71</v>
      </c>
      <c r="K114" s="8">
        <v>185</v>
      </c>
      <c r="L114" s="9" t="s">
        <v>982</v>
      </c>
      <c r="M114" s="9" t="s">
        <v>993</v>
      </c>
      <c r="N114" s="8">
        <v>0</v>
      </c>
      <c r="O114" s="8">
        <v>146</v>
      </c>
      <c r="P114" s="8">
        <v>2</v>
      </c>
      <c r="Q114" s="8" t="str">
        <f>VLOOKUP(patient[[#This Row],[ID_mutuelle]],mutuelle[],2,FALSE)</f>
        <v>MUTUELLE DU BATIMENT TRAVAUX PUBLICS &amp; REGIONS FRANCE &amp; EUROPE</v>
      </c>
    </row>
    <row r="115" spans="1:17" x14ac:dyDescent="0.3">
      <c r="A115" s="8">
        <v>445</v>
      </c>
      <c r="B115" s="9" t="s">
        <v>1426</v>
      </c>
      <c r="C115" s="9" t="s">
        <v>1427</v>
      </c>
      <c r="D115" s="9" t="s">
        <v>1428</v>
      </c>
      <c r="E115" s="8">
        <v>95753</v>
      </c>
      <c r="F115" s="9" t="s">
        <v>109</v>
      </c>
      <c r="G115" s="9" t="s">
        <v>1429</v>
      </c>
      <c r="H115" s="8">
        <v>687207855</v>
      </c>
      <c r="I115" s="8">
        <v>45</v>
      </c>
      <c r="J115" s="8">
        <v>95</v>
      </c>
      <c r="K115" s="8">
        <v>176</v>
      </c>
      <c r="L115" s="9" t="s">
        <v>987</v>
      </c>
      <c r="M115" s="9" t="s">
        <v>993</v>
      </c>
      <c r="N115" s="8">
        <v>0</v>
      </c>
      <c r="O115" s="8">
        <v>66</v>
      </c>
      <c r="P115" s="8">
        <v>3</v>
      </c>
      <c r="Q115" s="8" t="str">
        <f>VLOOKUP(patient[[#This Row],[ID_mutuelle]],mutuelle[],2,FALSE)</f>
        <v>MUTAMI</v>
      </c>
    </row>
    <row r="116" spans="1:17" x14ac:dyDescent="0.3">
      <c r="A116" s="8">
        <v>446</v>
      </c>
      <c r="B116" s="9" t="s">
        <v>1430</v>
      </c>
      <c r="C116" s="9" t="s">
        <v>1431</v>
      </c>
      <c r="D116" s="9" t="s">
        <v>1432</v>
      </c>
      <c r="E116" s="8">
        <v>94846</v>
      </c>
      <c r="F116" s="9" t="s">
        <v>274</v>
      </c>
      <c r="G116" s="9" t="s">
        <v>1433</v>
      </c>
      <c r="H116" s="8">
        <v>686393753</v>
      </c>
      <c r="I116" s="8">
        <v>75</v>
      </c>
      <c r="J116" s="8">
        <v>136</v>
      </c>
      <c r="K116" s="8">
        <v>204</v>
      </c>
      <c r="L116" s="9" t="s">
        <v>987</v>
      </c>
      <c r="M116" s="9" t="s">
        <v>988</v>
      </c>
      <c r="N116" s="8">
        <v>1</v>
      </c>
      <c r="O116" s="8">
        <v>205</v>
      </c>
      <c r="P116" s="8">
        <v>1</v>
      </c>
      <c r="Q116" s="8" t="str">
        <f>VLOOKUP(patient[[#This Row],[ID_mutuelle]],mutuelle[],2,FALSE)</f>
        <v>MUTUELLE MEDICALE CHIRURGICALE ATLANTIQUE</v>
      </c>
    </row>
    <row r="117" spans="1:17" x14ac:dyDescent="0.3">
      <c r="A117" s="8">
        <v>447</v>
      </c>
      <c r="B117" s="9" t="s">
        <v>1434</v>
      </c>
      <c r="C117" s="9" t="s">
        <v>1435</v>
      </c>
      <c r="D117" s="9" t="s">
        <v>1436</v>
      </c>
      <c r="E117" s="8">
        <v>92123</v>
      </c>
      <c r="F117" s="9" t="s">
        <v>582</v>
      </c>
      <c r="G117" s="9" t="s">
        <v>1437</v>
      </c>
      <c r="H117" s="8">
        <v>627132729</v>
      </c>
      <c r="I117" s="8">
        <v>91</v>
      </c>
      <c r="J117" s="8">
        <v>42</v>
      </c>
      <c r="K117" s="8">
        <v>98</v>
      </c>
      <c r="L117" s="9" t="s">
        <v>982</v>
      </c>
      <c r="M117" s="9" t="s">
        <v>993</v>
      </c>
      <c r="N117" s="8">
        <v>0</v>
      </c>
      <c r="O117" s="8">
        <v>29</v>
      </c>
      <c r="P117" s="8">
        <v>3</v>
      </c>
      <c r="Q117" s="8" t="str">
        <f>VLOOKUP(patient[[#This Row],[ID_mutuelle]],mutuelle[],2,FALSE)</f>
        <v>IRCEM MUTUELLE</v>
      </c>
    </row>
    <row r="118" spans="1:17" x14ac:dyDescent="0.3">
      <c r="A118" s="8">
        <v>448</v>
      </c>
      <c r="B118" s="9" t="s">
        <v>1438</v>
      </c>
      <c r="C118" s="9" t="s">
        <v>944</v>
      </c>
      <c r="D118" s="9" t="s">
        <v>1439</v>
      </c>
      <c r="E118" s="8">
        <v>92739</v>
      </c>
      <c r="F118" s="9" t="s">
        <v>477</v>
      </c>
      <c r="G118" s="9" t="s">
        <v>1440</v>
      </c>
      <c r="H118" s="8">
        <v>655077144</v>
      </c>
      <c r="I118" s="8">
        <v>30</v>
      </c>
      <c r="J118" s="8">
        <v>132</v>
      </c>
      <c r="K118" s="8">
        <v>104</v>
      </c>
      <c r="L118" s="9" t="s">
        <v>987</v>
      </c>
      <c r="M118" s="9" t="s">
        <v>998</v>
      </c>
      <c r="N118" s="8">
        <v>0</v>
      </c>
      <c r="O118" s="8">
        <v>38</v>
      </c>
      <c r="P118" s="8">
        <v>3</v>
      </c>
      <c r="Q118" s="8" t="str">
        <f>VLOOKUP(patient[[#This Row],[ID_mutuelle]],mutuelle[],2,FALSE)</f>
        <v>LA MUTUELLE DES ETUDIANTS</v>
      </c>
    </row>
    <row r="119" spans="1:17" x14ac:dyDescent="0.3">
      <c r="A119" s="8">
        <v>449</v>
      </c>
      <c r="B119" s="9" t="s">
        <v>1441</v>
      </c>
      <c r="C119" s="9" t="s">
        <v>1442</v>
      </c>
      <c r="D119" s="9" t="s">
        <v>1443</v>
      </c>
      <c r="E119" s="8">
        <v>95884</v>
      </c>
      <c r="F119" s="9" t="s">
        <v>194</v>
      </c>
      <c r="G119" s="9" t="s">
        <v>1444</v>
      </c>
      <c r="H119" s="8">
        <v>686363234</v>
      </c>
      <c r="I119" s="8">
        <v>3</v>
      </c>
      <c r="J119" s="8">
        <v>72</v>
      </c>
      <c r="K119" s="8">
        <v>188</v>
      </c>
      <c r="L119" s="9" t="s">
        <v>982</v>
      </c>
      <c r="M119" s="9" t="s">
        <v>993</v>
      </c>
      <c r="N119" s="8">
        <v>1</v>
      </c>
      <c r="O119" s="8">
        <v>116</v>
      </c>
      <c r="P119" s="8">
        <v>3</v>
      </c>
      <c r="Q119" s="8" t="str">
        <f>VLOOKUP(patient[[#This Row],[ID_mutuelle]],mutuelle[],2,FALSE)</f>
        <v>MUTUELLE DES AFFAIRES ETRANGERES ET EUROPEENNES</v>
      </c>
    </row>
    <row r="120" spans="1:17" x14ac:dyDescent="0.3">
      <c r="A120" s="8">
        <v>450</v>
      </c>
      <c r="B120" s="9" t="s">
        <v>1445</v>
      </c>
      <c r="C120" s="9" t="s">
        <v>1446</v>
      </c>
      <c r="D120" s="9" t="s">
        <v>1447</v>
      </c>
      <c r="E120" s="8">
        <v>91845</v>
      </c>
      <c r="F120" s="9" t="s">
        <v>340</v>
      </c>
      <c r="G120" s="9" t="s">
        <v>1448</v>
      </c>
      <c r="H120" s="8">
        <v>672171257</v>
      </c>
      <c r="I120" s="8">
        <v>32</v>
      </c>
      <c r="J120" s="8">
        <v>80</v>
      </c>
      <c r="K120" s="8">
        <v>174</v>
      </c>
      <c r="L120" s="9" t="s">
        <v>987</v>
      </c>
      <c r="M120" s="9" t="s">
        <v>993</v>
      </c>
      <c r="N120" s="8">
        <v>1</v>
      </c>
      <c r="O120" s="8">
        <v>97</v>
      </c>
      <c r="P120" s="8">
        <v>3</v>
      </c>
      <c r="Q120" s="8" t="str">
        <f>VLOOKUP(patient[[#This Row],[ID_mutuelle]],mutuelle[],2,FALSE)</f>
        <v>MUTUELLE DE FRANCE DU LACYDON</v>
      </c>
    </row>
    <row r="121" spans="1:17" x14ac:dyDescent="0.3">
      <c r="A121" s="8">
        <v>451</v>
      </c>
      <c r="B121" s="9" t="s">
        <v>1449</v>
      </c>
      <c r="C121" s="9" t="s">
        <v>1450</v>
      </c>
      <c r="D121" s="9" t="s">
        <v>1451</v>
      </c>
      <c r="E121" s="8">
        <v>94761</v>
      </c>
      <c r="F121" s="9" t="s">
        <v>39</v>
      </c>
      <c r="G121" s="9" t="s">
        <v>1452</v>
      </c>
      <c r="H121" s="8">
        <v>622507988</v>
      </c>
      <c r="I121" s="8">
        <v>34</v>
      </c>
      <c r="J121" s="8">
        <v>7</v>
      </c>
      <c r="K121" s="8">
        <v>113</v>
      </c>
      <c r="L121" s="9" t="s">
        <v>987</v>
      </c>
      <c r="M121" s="9" t="s">
        <v>1032</v>
      </c>
      <c r="N121" s="8">
        <v>0</v>
      </c>
      <c r="O121" s="8">
        <v>266</v>
      </c>
      <c r="P121" s="8">
        <v>3</v>
      </c>
      <c r="Q121" s="8" t="str">
        <f>VLOOKUP(patient[[#This Row],[ID_mutuelle]],mutuelle[],2,FALSE)</f>
        <v>UNION MUTUALISTE DE PREVOYANCE</v>
      </c>
    </row>
    <row r="122" spans="1:17" x14ac:dyDescent="0.3">
      <c r="A122" s="8">
        <v>452</v>
      </c>
      <c r="B122" s="9" t="s">
        <v>1453</v>
      </c>
      <c r="C122" s="9" t="s">
        <v>1454</v>
      </c>
      <c r="D122" s="9" t="s">
        <v>1455</v>
      </c>
      <c r="E122" s="8">
        <v>94356</v>
      </c>
      <c r="F122" s="9" t="s">
        <v>109</v>
      </c>
      <c r="G122" s="9" t="s">
        <v>1456</v>
      </c>
      <c r="H122" s="8">
        <v>643521189</v>
      </c>
      <c r="I122" s="8">
        <v>26</v>
      </c>
      <c r="J122" s="8">
        <v>22</v>
      </c>
      <c r="K122" s="8">
        <v>98</v>
      </c>
      <c r="L122" s="9" t="s">
        <v>982</v>
      </c>
      <c r="M122" s="9" t="s">
        <v>988</v>
      </c>
      <c r="N122" s="8">
        <v>1</v>
      </c>
      <c r="O122" s="8">
        <v>158</v>
      </c>
      <c r="P122" s="8">
        <v>2</v>
      </c>
      <c r="Q122" s="8" t="str">
        <f>VLOOKUP(patient[[#This Row],[ID_mutuelle]],mutuelle[],2,FALSE)</f>
        <v>MUTUELLE DU PERSONNEL DES PORTS DU DETROIT</v>
      </c>
    </row>
    <row r="123" spans="1:17" x14ac:dyDescent="0.3">
      <c r="A123" s="8">
        <v>453</v>
      </c>
      <c r="B123" s="9" t="s">
        <v>1457</v>
      </c>
      <c r="C123" s="9" t="s">
        <v>1458</v>
      </c>
      <c r="D123" s="9" t="s">
        <v>1459</v>
      </c>
      <c r="E123" s="8">
        <v>91470</v>
      </c>
      <c r="F123" s="9" t="s">
        <v>274</v>
      </c>
      <c r="G123" s="9" t="s">
        <v>1460</v>
      </c>
      <c r="H123" s="8">
        <v>647712530</v>
      </c>
      <c r="I123" s="8">
        <v>72</v>
      </c>
      <c r="J123" s="8">
        <v>42</v>
      </c>
      <c r="K123" s="8">
        <v>119</v>
      </c>
      <c r="L123" s="9" t="s">
        <v>982</v>
      </c>
      <c r="M123" s="9" t="s">
        <v>993</v>
      </c>
      <c r="N123" s="8">
        <v>1</v>
      </c>
      <c r="O123" s="8">
        <v>29</v>
      </c>
      <c r="P123" s="8">
        <v>1</v>
      </c>
      <c r="Q123" s="8" t="str">
        <f>VLOOKUP(patient[[#This Row],[ID_mutuelle]],mutuelle[],2,FALSE)</f>
        <v>IRCEM MUTUELLE</v>
      </c>
    </row>
    <row r="124" spans="1:17" x14ac:dyDescent="0.3">
      <c r="A124" s="8">
        <v>454</v>
      </c>
      <c r="B124" s="9" t="s">
        <v>1461</v>
      </c>
      <c r="C124" s="9" t="s">
        <v>544</v>
      </c>
      <c r="D124" s="9" t="s">
        <v>1462</v>
      </c>
      <c r="E124" s="8">
        <v>93155</v>
      </c>
      <c r="F124" s="9" t="s">
        <v>274</v>
      </c>
      <c r="G124" s="9" t="s">
        <v>1463</v>
      </c>
      <c r="H124" s="8">
        <v>623012230</v>
      </c>
      <c r="I124" s="8">
        <v>16</v>
      </c>
      <c r="J124" s="8">
        <v>78</v>
      </c>
      <c r="K124" s="8">
        <v>206</v>
      </c>
      <c r="L124" s="9" t="s">
        <v>987</v>
      </c>
      <c r="M124" s="9" t="s">
        <v>1077</v>
      </c>
      <c r="N124" s="8">
        <v>0</v>
      </c>
      <c r="O124" s="8">
        <v>128</v>
      </c>
      <c r="P124" s="8">
        <v>1</v>
      </c>
      <c r="Q124" s="8" t="str">
        <f>VLOOKUP(patient[[#This Row],[ID_mutuelle]],mutuelle[],2,FALSE)</f>
        <v>MUTUELLE DES HOPITAUX DE LA VIENNE</v>
      </c>
    </row>
    <row r="125" spans="1:17" x14ac:dyDescent="0.3">
      <c r="A125" s="8">
        <v>455</v>
      </c>
      <c r="B125" s="9" t="s">
        <v>1464</v>
      </c>
      <c r="C125" s="9" t="s">
        <v>1465</v>
      </c>
      <c r="D125" s="9" t="s">
        <v>1466</v>
      </c>
      <c r="E125" s="8">
        <v>94734</v>
      </c>
      <c r="F125" s="9" t="s">
        <v>208</v>
      </c>
      <c r="G125" s="9" t="s">
        <v>1467</v>
      </c>
      <c r="H125" s="8">
        <v>613654212</v>
      </c>
      <c r="I125" s="8">
        <v>87</v>
      </c>
      <c r="J125" s="8">
        <v>16</v>
      </c>
      <c r="K125" s="8">
        <v>170</v>
      </c>
      <c r="L125" s="9" t="s">
        <v>982</v>
      </c>
      <c r="M125" s="9" t="s">
        <v>993</v>
      </c>
      <c r="N125" s="8">
        <v>0</v>
      </c>
      <c r="O125" s="8">
        <v>91</v>
      </c>
      <c r="P125" s="8">
        <v>2</v>
      </c>
      <c r="Q125" s="8" t="str">
        <f>VLOOKUP(patient[[#This Row],[ID_mutuelle]],mutuelle[],2,FALSE)</f>
        <v>MUTUELLE D'EPARGNE DE RETRAITE ET DE PREVOYANCE CARAC</v>
      </c>
    </row>
    <row r="126" spans="1:17" x14ac:dyDescent="0.3">
      <c r="A126" s="8">
        <v>456</v>
      </c>
      <c r="B126" s="9" t="s">
        <v>1468</v>
      </c>
      <c r="C126" s="9" t="s">
        <v>1469</v>
      </c>
      <c r="D126" s="9" t="s">
        <v>1470</v>
      </c>
      <c r="E126" s="8">
        <v>91860</v>
      </c>
      <c r="F126" s="9" t="s">
        <v>194</v>
      </c>
      <c r="G126" s="9" t="s">
        <v>1471</v>
      </c>
      <c r="H126" s="8">
        <v>665247154</v>
      </c>
      <c r="I126" s="8">
        <v>38</v>
      </c>
      <c r="J126" s="8">
        <v>56</v>
      </c>
      <c r="K126" s="8">
        <v>152</v>
      </c>
      <c r="L126" s="9" t="s">
        <v>987</v>
      </c>
      <c r="M126" s="9" t="s">
        <v>1015</v>
      </c>
      <c r="N126" s="8">
        <v>1</v>
      </c>
      <c r="O126" s="8">
        <v>35</v>
      </c>
      <c r="P126" s="8">
        <v>3</v>
      </c>
      <c r="Q126" s="8" t="str">
        <f>VLOOKUP(patient[[#This Row],[ID_mutuelle]],mutuelle[],2,FALSE)</f>
        <v>LA FRATERNELLE MUTUELLE INTERENTREPRISES</v>
      </c>
    </row>
    <row r="127" spans="1:17" x14ac:dyDescent="0.3">
      <c r="A127" s="8">
        <v>457</v>
      </c>
      <c r="B127" s="9" t="s">
        <v>1472</v>
      </c>
      <c r="C127" s="9" t="s">
        <v>1139</v>
      </c>
      <c r="D127" s="9" t="s">
        <v>1473</v>
      </c>
      <c r="E127" s="8">
        <v>94891</v>
      </c>
      <c r="F127" s="9" t="s">
        <v>114</v>
      </c>
      <c r="G127" s="9" t="s">
        <v>1474</v>
      </c>
      <c r="H127" s="8">
        <v>686123323</v>
      </c>
      <c r="I127" s="8">
        <v>52</v>
      </c>
      <c r="J127" s="8">
        <v>39</v>
      </c>
      <c r="K127" s="8">
        <v>173</v>
      </c>
      <c r="L127" s="9" t="s">
        <v>987</v>
      </c>
      <c r="M127" s="9" t="s">
        <v>1032</v>
      </c>
      <c r="N127" s="8">
        <v>0</v>
      </c>
      <c r="O127" s="8">
        <v>247</v>
      </c>
      <c r="P127" s="8">
        <v>1</v>
      </c>
      <c r="Q127" s="8" t="str">
        <f>VLOOKUP(patient[[#This Row],[ID_mutuelle]],mutuelle[],2,FALSE)</f>
        <v>SOCIETE DE PREVOYANCE MUTUALISTE DU PERSONNEL DE LA BANQUE DE FRANCE</v>
      </c>
    </row>
    <row r="128" spans="1:17" x14ac:dyDescent="0.3">
      <c r="A128" s="8">
        <v>458</v>
      </c>
      <c r="B128" s="9" t="s">
        <v>1475</v>
      </c>
      <c r="C128" s="9" t="s">
        <v>1476</v>
      </c>
      <c r="D128" s="9" t="s">
        <v>1477</v>
      </c>
      <c r="E128" s="8">
        <v>92134</v>
      </c>
      <c r="F128" s="9" t="s">
        <v>129</v>
      </c>
      <c r="G128" s="9" t="s">
        <v>1478</v>
      </c>
      <c r="H128" s="8">
        <v>634322549</v>
      </c>
      <c r="I128" s="8">
        <v>105</v>
      </c>
      <c r="J128" s="8">
        <v>95</v>
      </c>
      <c r="K128" s="8">
        <v>93</v>
      </c>
      <c r="L128" s="9" t="s">
        <v>982</v>
      </c>
      <c r="M128" s="9" t="s">
        <v>993</v>
      </c>
      <c r="N128" s="8">
        <v>0</v>
      </c>
      <c r="O128" s="8">
        <v>34</v>
      </c>
      <c r="P128" s="8">
        <v>1</v>
      </c>
      <c r="Q128" s="8" t="str">
        <f>VLOOKUP(patient[[#This Row],[ID_mutuelle]],mutuelle[],2,FALSE)</f>
        <v>LA FRATERNELLE DES TERRITORIAUX</v>
      </c>
    </row>
    <row r="129" spans="1:17" x14ac:dyDescent="0.3">
      <c r="A129" s="8">
        <v>459</v>
      </c>
      <c r="B129" s="9" t="s">
        <v>1479</v>
      </c>
      <c r="C129" s="9" t="s">
        <v>1480</v>
      </c>
      <c r="D129" s="9" t="s">
        <v>1481</v>
      </c>
      <c r="E129" s="8">
        <v>75280</v>
      </c>
      <c r="F129" s="9" t="s">
        <v>65</v>
      </c>
      <c r="G129" s="9" t="s">
        <v>1482</v>
      </c>
      <c r="H129" s="8">
        <v>682753949</v>
      </c>
      <c r="I129" s="8">
        <v>83</v>
      </c>
      <c r="J129" s="8">
        <v>140</v>
      </c>
      <c r="K129" s="8">
        <v>129</v>
      </c>
      <c r="L129" s="9" t="s">
        <v>982</v>
      </c>
      <c r="M129" s="9" t="s">
        <v>993</v>
      </c>
      <c r="N129" s="8">
        <v>0</v>
      </c>
      <c r="O129" s="8">
        <v>70</v>
      </c>
      <c r="P129" s="8">
        <v>3</v>
      </c>
      <c r="Q129" s="8" t="str">
        <f>VLOOKUP(patient[[#This Row],[ID_mutuelle]],mutuelle[],2,FALSE)</f>
        <v>MUTLOG GARANTIES</v>
      </c>
    </row>
    <row r="130" spans="1:17" x14ac:dyDescent="0.3">
      <c r="A130" s="8">
        <v>460</v>
      </c>
      <c r="B130" s="9" t="s">
        <v>1483</v>
      </c>
      <c r="C130" s="9" t="s">
        <v>1484</v>
      </c>
      <c r="D130" s="9" t="s">
        <v>1485</v>
      </c>
      <c r="E130" s="8">
        <v>93528</v>
      </c>
      <c r="F130" s="9" t="s">
        <v>129</v>
      </c>
      <c r="G130" s="9" t="s">
        <v>1486</v>
      </c>
      <c r="H130" s="8">
        <v>679192298</v>
      </c>
      <c r="I130" s="8">
        <v>97</v>
      </c>
      <c r="J130" s="8">
        <v>12</v>
      </c>
      <c r="K130" s="8">
        <v>122</v>
      </c>
      <c r="L130" s="9" t="s">
        <v>982</v>
      </c>
      <c r="M130" s="9" t="s">
        <v>988</v>
      </c>
      <c r="N130" s="8">
        <v>1</v>
      </c>
      <c r="O130" s="8">
        <v>107</v>
      </c>
      <c r="P130" s="8">
        <v>2</v>
      </c>
      <c r="Q130" s="8" t="str">
        <f>VLOOKUP(patient[[#This Row],[ID_mutuelle]],mutuelle[],2,FALSE)</f>
        <v>MUTUELLE DE LA DEPECHE DU MIDI</v>
      </c>
    </row>
    <row r="131" spans="1:17" x14ac:dyDescent="0.3">
      <c r="A131" s="8">
        <v>461</v>
      </c>
      <c r="B131" s="9" t="s">
        <v>1487</v>
      </c>
      <c r="C131" s="9" t="s">
        <v>1488</v>
      </c>
      <c r="D131" s="9" t="s">
        <v>1489</v>
      </c>
      <c r="E131" s="8">
        <v>75408</v>
      </c>
      <c r="F131" s="9" t="s">
        <v>168</v>
      </c>
      <c r="G131" s="9" t="s">
        <v>1490</v>
      </c>
      <c r="H131" s="8">
        <v>690672920</v>
      </c>
      <c r="I131" s="8">
        <v>32</v>
      </c>
      <c r="J131" s="8">
        <v>95</v>
      </c>
      <c r="K131" s="8">
        <v>152</v>
      </c>
      <c r="L131" s="9" t="s">
        <v>982</v>
      </c>
      <c r="M131" s="9" t="s">
        <v>988</v>
      </c>
      <c r="N131" s="8">
        <v>1</v>
      </c>
      <c r="O131" s="8">
        <v>122</v>
      </c>
      <c r="P131" s="8">
        <v>3</v>
      </c>
      <c r="Q131" s="8" t="str">
        <f>VLOOKUP(patient[[#This Row],[ID_mutuelle]],mutuelle[],2,FALSE)</f>
        <v>MUTUELLE DES CHEMINOTS DE NORMANDIE</v>
      </c>
    </row>
    <row r="132" spans="1:17" x14ac:dyDescent="0.3">
      <c r="A132" s="8">
        <v>462</v>
      </c>
      <c r="B132" s="9" t="s">
        <v>1491</v>
      </c>
      <c r="C132" s="9" t="s">
        <v>1492</v>
      </c>
      <c r="D132" s="9" t="s">
        <v>1493</v>
      </c>
      <c r="E132" s="8">
        <v>94391</v>
      </c>
      <c r="F132" s="9" t="s">
        <v>477</v>
      </c>
      <c r="G132" s="9" t="s">
        <v>1494</v>
      </c>
      <c r="H132" s="8">
        <v>637306757</v>
      </c>
      <c r="I132" s="8">
        <v>77</v>
      </c>
      <c r="J132" s="8">
        <v>87</v>
      </c>
      <c r="K132" s="8">
        <v>142</v>
      </c>
      <c r="L132" s="9" t="s">
        <v>982</v>
      </c>
      <c r="M132" s="9" t="s">
        <v>993</v>
      </c>
      <c r="N132" s="8">
        <v>0</v>
      </c>
      <c r="O132" s="8">
        <v>148</v>
      </c>
      <c r="P132" s="8">
        <v>3</v>
      </c>
      <c r="Q132" s="8" t="str">
        <f>VLOOKUP(patient[[#This Row],[ID_mutuelle]],mutuelle[],2,FALSE)</f>
        <v>MUTUELLE DU CHU ET HOPITAUX DU PUY DE DOME</v>
      </c>
    </row>
    <row r="133" spans="1:17" x14ac:dyDescent="0.3">
      <c r="A133" s="8">
        <v>463</v>
      </c>
      <c r="B133" s="9" t="s">
        <v>1495</v>
      </c>
      <c r="C133" s="9" t="s">
        <v>1496</v>
      </c>
      <c r="D133" s="9" t="s">
        <v>1497</v>
      </c>
      <c r="E133" s="8">
        <v>75680</v>
      </c>
      <c r="F133" s="9" t="s">
        <v>218</v>
      </c>
      <c r="G133" s="9" t="s">
        <v>1498</v>
      </c>
      <c r="H133" s="8">
        <v>686609219</v>
      </c>
      <c r="I133" s="8">
        <v>3</v>
      </c>
      <c r="J133" s="8">
        <v>61</v>
      </c>
      <c r="K133" s="8">
        <v>178</v>
      </c>
      <c r="L133" s="9" t="s">
        <v>987</v>
      </c>
      <c r="M133" s="9" t="s">
        <v>993</v>
      </c>
      <c r="N133" s="8">
        <v>1</v>
      </c>
      <c r="O133" s="8">
        <v>139</v>
      </c>
      <c r="P133" s="8">
        <v>2</v>
      </c>
      <c r="Q133" s="8" t="str">
        <f>VLOOKUP(patient[[#This Row],[ID_mutuelle]],mutuelle[],2,FALSE)</f>
        <v>MUTUELLE DES SAPEURS POMPIERS DE PARIS</v>
      </c>
    </row>
    <row r="134" spans="1:17" x14ac:dyDescent="0.3">
      <c r="A134" s="8">
        <v>464</v>
      </c>
      <c r="B134" s="9" t="s">
        <v>1499</v>
      </c>
      <c r="C134" s="9" t="s">
        <v>1500</v>
      </c>
      <c r="D134" s="9" t="s">
        <v>1501</v>
      </c>
      <c r="E134" s="8">
        <v>93407</v>
      </c>
      <c r="F134" s="9" t="s">
        <v>32</v>
      </c>
      <c r="G134" s="9" t="s">
        <v>1502</v>
      </c>
      <c r="H134" s="8">
        <v>641038859</v>
      </c>
      <c r="I134" s="8">
        <v>42</v>
      </c>
      <c r="J134" s="8">
        <v>66</v>
      </c>
      <c r="K134" s="8">
        <v>134</v>
      </c>
      <c r="L134" s="9" t="s">
        <v>987</v>
      </c>
      <c r="M134" s="9" t="s">
        <v>993</v>
      </c>
      <c r="N134" s="8">
        <v>1</v>
      </c>
      <c r="O134" s="8">
        <v>248</v>
      </c>
      <c r="P134" s="8">
        <v>3</v>
      </c>
      <c r="Q134" s="8" t="str">
        <f>VLOOKUP(patient[[#This Row],[ID_mutuelle]],mutuelle[],2,FALSE)</f>
        <v>SOCIETE INTERPROFESSIONNELLE MUTUALISTE INDEPENDANTE DE LA REGION PARISIENNE</v>
      </c>
    </row>
    <row r="135" spans="1:17" x14ac:dyDescent="0.3">
      <c r="A135" s="8">
        <v>465</v>
      </c>
      <c r="B135" s="9" t="s">
        <v>1503</v>
      </c>
      <c r="C135" s="9" t="s">
        <v>1504</v>
      </c>
      <c r="D135" s="9" t="s">
        <v>1505</v>
      </c>
      <c r="E135" s="8">
        <v>75441</v>
      </c>
      <c r="F135" s="9" t="s">
        <v>129</v>
      </c>
      <c r="G135" s="9" t="s">
        <v>1506</v>
      </c>
      <c r="H135" s="8">
        <v>648004529</v>
      </c>
      <c r="I135" s="8">
        <v>110</v>
      </c>
      <c r="J135" s="8">
        <v>43</v>
      </c>
      <c r="K135" s="8">
        <v>205</v>
      </c>
      <c r="L135" s="9" t="s">
        <v>982</v>
      </c>
      <c r="M135" s="9" t="s">
        <v>993</v>
      </c>
      <c r="N135" s="8">
        <v>1</v>
      </c>
      <c r="O135" s="8">
        <v>255</v>
      </c>
      <c r="P135" s="8">
        <v>2</v>
      </c>
      <c r="Q135" s="8" t="str">
        <f>VLOOKUP(patient[[#This Row],[ID_mutuelle]],mutuelle[],2,FALSE)</f>
        <v>SOCIETE MUTUALISTE INTERDEPARTEMENTALE DE BANQUE</v>
      </c>
    </row>
    <row r="136" spans="1:17" x14ac:dyDescent="0.3">
      <c r="A136" s="8">
        <v>466</v>
      </c>
      <c r="B136" s="9" t="s">
        <v>1193</v>
      </c>
      <c r="C136" s="9" t="s">
        <v>1507</v>
      </c>
      <c r="D136" s="9" t="s">
        <v>1508</v>
      </c>
      <c r="E136" s="8">
        <v>78598</v>
      </c>
      <c r="F136" s="9" t="s">
        <v>83</v>
      </c>
      <c r="G136" s="9" t="s">
        <v>1509</v>
      </c>
      <c r="H136" s="8">
        <v>668349220</v>
      </c>
      <c r="I136" s="8">
        <v>84</v>
      </c>
      <c r="J136" s="8">
        <v>27</v>
      </c>
      <c r="K136" s="8">
        <v>122</v>
      </c>
      <c r="L136" s="9" t="s">
        <v>982</v>
      </c>
      <c r="M136" s="9" t="s">
        <v>1045</v>
      </c>
      <c r="N136" s="8">
        <v>0</v>
      </c>
      <c r="O136" s="8">
        <v>48</v>
      </c>
      <c r="P136" s="8">
        <v>2</v>
      </c>
      <c r="Q136" s="8" t="str">
        <f>VLOOKUP(patient[[#This Row],[ID_mutuelle]],mutuelle[],2,FALSE)</f>
        <v>MACIF MUTUALITE</v>
      </c>
    </row>
    <row r="137" spans="1:17" x14ac:dyDescent="0.3">
      <c r="A137" s="8">
        <v>467</v>
      </c>
      <c r="B137" s="9" t="s">
        <v>1510</v>
      </c>
      <c r="C137" s="9" t="s">
        <v>1511</v>
      </c>
      <c r="D137" s="9" t="s">
        <v>1512</v>
      </c>
      <c r="E137" s="8">
        <v>75531</v>
      </c>
      <c r="F137" s="9" t="s">
        <v>58</v>
      </c>
      <c r="G137" s="9" t="s">
        <v>1513</v>
      </c>
      <c r="H137" s="8">
        <v>620163328</v>
      </c>
      <c r="I137" s="8">
        <v>38</v>
      </c>
      <c r="J137" s="8">
        <v>96</v>
      </c>
      <c r="K137" s="8">
        <v>167</v>
      </c>
      <c r="L137" s="9" t="s">
        <v>982</v>
      </c>
      <c r="M137" s="9" t="s">
        <v>1015</v>
      </c>
      <c r="N137" s="8">
        <v>0</v>
      </c>
      <c r="O137" s="8">
        <v>26</v>
      </c>
      <c r="P137" s="8">
        <v>1</v>
      </c>
      <c r="Q137" s="8" t="str">
        <f>VLOOKUP(patient[[#This Row],[ID_mutuelle]],mutuelle[],2,FALSE)</f>
        <v>IDENTITES MUTUELLE</v>
      </c>
    </row>
    <row r="138" spans="1:17" x14ac:dyDescent="0.3">
      <c r="A138" s="8">
        <v>468</v>
      </c>
      <c r="B138" s="9" t="s">
        <v>1514</v>
      </c>
      <c r="C138" s="9" t="s">
        <v>1515</v>
      </c>
      <c r="D138" s="9" t="s">
        <v>1516</v>
      </c>
      <c r="E138" s="8">
        <v>94857</v>
      </c>
      <c r="F138" s="9" t="s">
        <v>89</v>
      </c>
      <c r="G138" s="9" t="s">
        <v>1517</v>
      </c>
      <c r="H138" s="8">
        <v>685502490</v>
      </c>
      <c r="I138" s="8">
        <v>92</v>
      </c>
      <c r="J138" s="8">
        <v>65</v>
      </c>
      <c r="K138" s="8">
        <v>197</v>
      </c>
      <c r="L138" s="9" t="s">
        <v>987</v>
      </c>
      <c r="M138" s="9" t="s">
        <v>993</v>
      </c>
      <c r="N138" s="8">
        <v>1</v>
      </c>
      <c r="O138" s="8">
        <v>274</v>
      </c>
      <c r="P138" s="8">
        <v>1</v>
      </c>
      <c r="Q138" s="8" t="str">
        <f>VLOOKUP(patient[[#This Row],[ID_mutuelle]],mutuelle[],2,FALSE)</f>
        <v>525ÈME MUTUELLE D'ENTREPRISES</v>
      </c>
    </row>
    <row r="139" spans="1:17" x14ac:dyDescent="0.3">
      <c r="A139" s="8">
        <v>469</v>
      </c>
      <c r="B139" s="9" t="s">
        <v>1518</v>
      </c>
      <c r="C139" s="9" t="s">
        <v>1519</v>
      </c>
      <c r="D139" s="9" t="s">
        <v>1520</v>
      </c>
      <c r="E139" s="8">
        <v>78613</v>
      </c>
      <c r="F139" s="9" t="s">
        <v>477</v>
      </c>
      <c r="G139" s="9" t="s">
        <v>1521</v>
      </c>
      <c r="H139" s="8">
        <v>654551040</v>
      </c>
      <c r="I139" s="8">
        <v>11</v>
      </c>
      <c r="J139" s="8">
        <v>142</v>
      </c>
      <c r="K139" s="8">
        <v>133</v>
      </c>
      <c r="L139" s="9" t="s">
        <v>987</v>
      </c>
      <c r="M139" s="9" t="s">
        <v>998</v>
      </c>
      <c r="N139" s="8">
        <v>0</v>
      </c>
      <c r="O139" s="8">
        <v>202</v>
      </c>
      <c r="P139" s="8">
        <v>1</v>
      </c>
      <c r="Q139" s="8" t="str">
        <f>VLOOKUP(patient[[#This Row],[ID_mutuelle]],mutuelle[],2,FALSE)</f>
        <v>MUTUELLE MALAKOFF HUMANIS</v>
      </c>
    </row>
    <row r="140" spans="1:17" x14ac:dyDescent="0.3">
      <c r="A140" s="8">
        <v>470</v>
      </c>
      <c r="B140" s="9" t="s">
        <v>1522</v>
      </c>
      <c r="C140" s="9" t="s">
        <v>1523</v>
      </c>
      <c r="D140" s="9" t="s">
        <v>1524</v>
      </c>
      <c r="E140" s="8">
        <v>78474</v>
      </c>
      <c r="F140" s="9" t="s">
        <v>52</v>
      </c>
      <c r="G140" s="9" t="s">
        <v>1525</v>
      </c>
      <c r="H140" s="8">
        <v>615040267</v>
      </c>
      <c r="I140" s="8">
        <v>85</v>
      </c>
      <c r="J140" s="8">
        <v>74</v>
      </c>
      <c r="K140" s="8">
        <v>216</v>
      </c>
      <c r="L140" s="9" t="s">
        <v>987</v>
      </c>
      <c r="M140" s="9" t="s">
        <v>1045</v>
      </c>
      <c r="N140" s="8">
        <v>0</v>
      </c>
      <c r="O140" s="8">
        <v>122</v>
      </c>
      <c r="P140" s="8">
        <v>1</v>
      </c>
      <c r="Q140" s="8" t="str">
        <f>VLOOKUP(patient[[#This Row],[ID_mutuelle]],mutuelle[],2,FALSE)</f>
        <v>MUTUELLE DES CHEMINOTS DE NORMANDIE</v>
      </c>
    </row>
    <row r="141" spans="1:17" x14ac:dyDescent="0.3">
      <c r="A141" s="8">
        <v>471</v>
      </c>
      <c r="B141" s="9" t="s">
        <v>780</v>
      </c>
      <c r="C141" s="9" t="s">
        <v>1526</v>
      </c>
      <c r="D141" s="9" t="s">
        <v>1527</v>
      </c>
      <c r="E141" s="8">
        <v>92571</v>
      </c>
      <c r="F141" s="9" t="s">
        <v>58</v>
      </c>
      <c r="G141" s="9" t="s">
        <v>1528</v>
      </c>
      <c r="H141" s="8">
        <v>621781421</v>
      </c>
      <c r="I141" s="8">
        <v>18</v>
      </c>
      <c r="J141" s="8">
        <v>140</v>
      </c>
      <c r="K141" s="8">
        <v>204</v>
      </c>
      <c r="L141" s="9" t="s">
        <v>982</v>
      </c>
      <c r="M141" s="9" t="s">
        <v>983</v>
      </c>
      <c r="N141" s="8">
        <v>0</v>
      </c>
      <c r="O141" s="8">
        <v>119</v>
      </c>
      <c r="P141" s="8">
        <v>2</v>
      </c>
      <c r="Q141" s="8" t="str">
        <f>VLOOKUP(patient[[#This Row],[ID_mutuelle]],mutuelle[],2,FALSE)</f>
        <v>MUTUELLE DES AUTEURS COMPOSITEURS ET EDITEURS DE MUSIQUE</v>
      </c>
    </row>
    <row r="142" spans="1:17" x14ac:dyDescent="0.3">
      <c r="A142" s="8">
        <v>472</v>
      </c>
      <c r="B142" s="9" t="s">
        <v>1529</v>
      </c>
      <c r="C142" s="9" t="s">
        <v>1530</v>
      </c>
      <c r="D142" s="9" t="s">
        <v>1531</v>
      </c>
      <c r="E142" s="8">
        <v>92954</v>
      </c>
      <c r="F142" s="9" t="s">
        <v>129</v>
      </c>
      <c r="G142" s="9" t="s">
        <v>1532</v>
      </c>
      <c r="H142" s="8">
        <v>635607104</v>
      </c>
      <c r="I142" s="8">
        <v>1</v>
      </c>
      <c r="J142" s="8">
        <v>33</v>
      </c>
      <c r="K142" s="8">
        <v>218</v>
      </c>
      <c r="L142" s="9" t="s">
        <v>982</v>
      </c>
      <c r="M142" s="9" t="s">
        <v>993</v>
      </c>
      <c r="N142" s="8">
        <v>1</v>
      </c>
      <c r="O142" s="8">
        <v>230</v>
      </c>
      <c r="P142" s="8">
        <v>1</v>
      </c>
      <c r="Q142" s="8" t="str">
        <f>VLOOKUP(patient[[#This Row],[ID_mutuelle]],mutuelle[],2,FALSE)</f>
        <v>MUTUELLE UNEO</v>
      </c>
    </row>
    <row r="143" spans="1:17" x14ac:dyDescent="0.3">
      <c r="A143" s="8">
        <v>473</v>
      </c>
      <c r="B143" s="9" t="s">
        <v>1533</v>
      </c>
      <c r="C143" s="9" t="s">
        <v>1534</v>
      </c>
      <c r="D143" s="9" t="s">
        <v>1535</v>
      </c>
      <c r="E143" s="8">
        <v>75105</v>
      </c>
      <c r="F143" s="9" t="s">
        <v>582</v>
      </c>
      <c r="G143" s="9" t="s">
        <v>1536</v>
      </c>
      <c r="H143" s="8">
        <v>617004231</v>
      </c>
      <c r="I143" s="8">
        <v>25</v>
      </c>
      <c r="J143" s="8">
        <v>138</v>
      </c>
      <c r="K143" s="8">
        <v>150</v>
      </c>
      <c r="L143" s="9" t="s">
        <v>987</v>
      </c>
      <c r="M143" s="9" t="s">
        <v>1032</v>
      </c>
      <c r="N143" s="8">
        <v>1</v>
      </c>
      <c r="O143" s="8">
        <v>227</v>
      </c>
      <c r="P143" s="8">
        <v>3</v>
      </c>
      <c r="Q143" s="8" t="str">
        <f>VLOOKUP(patient[[#This Row],[ID_mutuelle]],mutuelle[],2,FALSE)</f>
        <v>MUTUELLE SMH</v>
      </c>
    </row>
    <row r="144" spans="1:17" x14ac:dyDescent="0.3">
      <c r="A144" s="8">
        <v>474</v>
      </c>
      <c r="B144" s="9" t="s">
        <v>1537</v>
      </c>
      <c r="C144" s="9" t="s">
        <v>1538</v>
      </c>
      <c r="D144" s="9" t="s">
        <v>1539</v>
      </c>
      <c r="E144" s="8">
        <v>92168</v>
      </c>
      <c r="F144" s="9" t="s">
        <v>582</v>
      </c>
      <c r="G144" s="9" t="s">
        <v>1540</v>
      </c>
      <c r="H144" s="8">
        <v>664820759</v>
      </c>
      <c r="I144" s="8">
        <v>61</v>
      </c>
      <c r="J144" s="8">
        <v>56</v>
      </c>
      <c r="K144" s="8">
        <v>158</v>
      </c>
      <c r="L144" s="9" t="s">
        <v>987</v>
      </c>
      <c r="M144" s="9" t="s">
        <v>1077</v>
      </c>
      <c r="N144" s="8">
        <v>0</v>
      </c>
      <c r="O144" s="8">
        <v>109</v>
      </c>
      <c r="P144" s="8">
        <v>1</v>
      </c>
      <c r="Q144" s="8" t="str">
        <f>VLOOKUP(patient[[#This Row],[ID_mutuelle]],mutuelle[],2,FALSE)</f>
        <v>MUTUELLE DE LA REGIE DES TRANSPORTS EN COMMUN DE L'AGGLOMERATION TROYENNE</v>
      </c>
    </row>
    <row r="145" spans="1:17" x14ac:dyDescent="0.3">
      <c r="A145" s="8">
        <v>475</v>
      </c>
      <c r="B145" s="9" t="s">
        <v>1541</v>
      </c>
      <c r="C145" s="9" t="s">
        <v>1542</v>
      </c>
      <c r="D145" s="9" t="s">
        <v>1543</v>
      </c>
      <c r="E145" s="8">
        <v>91269</v>
      </c>
      <c r="F145" s="9" t="s">
        <v>340</v>
      </c>
      <c r="G145" s="9" t="s">
        <v>1544</v>
      </c>
      <c r="H145" s="8">
        <v>670237429</v>
      </c>
      <c r="I145" s="8">
        <v>94</v>
      </c>
      <c r="J145" s="8">
        <v>21</v>
      </c>
      <c r="K145" s="8">
        <v>179</v>
      </c>
      <c r="L145" s="9" t="s">
        <v>982</v>
      </c>
      <c r="M145" s="9" t="s">
        <v>1015</v>
      </c>
      <c r="N145" s="8">
        <v>0</v>
      </c>
      <c r="O145" s="8">
        <v>72</v>
      </c>
      <c r="P145" s="8">
        <v>2</v>
      </c>
      <c r="Q145" s="8" t="str">
        <f>VLOOKUP(patient[[#This Row],[ID_mutuelle]],mutuelle[],2,FALSE)</f>
        <v>MUTUELLE 403</v>
      </c>
    </row>
    <row r="146" spans="1:17" x14ac:dyDescent="0.3">
      <c r="A146" s="8">
        <v>476</v>
      </c>
      <c r="B146" s="9" t="s">
        <v>1545</v>
      </c>
      <c r="C146" s="9" t="s">
        <v>1546</v>
      </c>
      <c r="D146" s="9" t="s">
        <v>1547</v>
      </c>
      <c r="E146" s="8">
        <v>92388</v>
      </c>
      <c r="F146" s="9" t="s">
        <v>274</v>
      </c>
      <c r="G146" s="9" t="s">
        <v>1548</v>
      </c>
      <c r="H146" s="8">
        <v>630244635</v>
      </c>
      <c r="I146" s="8">
        <v>31</v>
      </c>
      <c r="J146" s="8">
        <v>142</v>
      </c>
      <c r="K146" s="8">
        <v>213</v>
      </c>
      <c r="L146" s="9" t="s">
        <v>987</v>
      </c>
      <c r="M146" s="9" t="s">
        <v>993</v>
      </c>
      <c r="N146" s="8">
        <v>0</v>
      </c>
      <c r="O146" s="8">
        <v>23</v>
      </c>
      <c r="P146" s="8">
        <v>2</v>
      </c>
      <c r="Q146" s="8" t="str">
        <f>VLOOKUP(patient[[#This Row],[ID_mutuelle]],mutuelle[],2,FALSE)</f>
        <v>GARANCE</v>
      </c>
    </row>
    <row r="147" spans="1:17" x14ac:dyDescent="0.3">
      <c r="A147" s="8">
        <v>477</v>
      </c>
      <c r="B147" s="9" t="s">
        <v>1549</v>
      </c>
      <c r="C147" s="9" t="s">
        <v>1550</v>
      </c>
      <c r="D147" s="9" t="s">
        <v>1551</v>
      </c>
      <c r="E147" s="8">
        <v>92905</v>
      </c>
      <c r="F147" s="9" t="s">
        <v>257</v>
      </c>
      <c r="G147" s="9" t="s">
        <v>1552</v>
      </c>
      <c r="H147" s="8">
        <v>616584211</v>
      </c>
      <c r="I147" s="8">
        <v>29</v>
      </c>
      <c r="J147" s="8">
        <v>63</v>
      </c>
      <c r="K147" s="8">
        <v>203</v>
      </c>
      <c r="L147" s="9" t="s">
        <v>982</v>
      </c>
      <c r="M147" s="9" t="s">
        <v>1032</v>
      </c>
      <c r="N147" s="8">
        <v>1</v>
      </c>
      <c r="O147" s="8">
        <v>97</v>
      </c>
      <c r="P147" s="8">
        <v>3</v>
      </c>
      <c r="Q147" s="8" t="str">
        <f>VLOOKUP(patient[[#This Row],[ID_mutuelle]],mutuelle[],2,FALSE)</f>
        <v>MUTUELLE DE FRANCE DU LACYDON</v>
      </c>
    </row>
    <row r="148" spans="1:17" x14ac:dyDescent="0.3">
      <c r="A148" s="8">
        <v>478</v>
      </c>
      <c r="B148" s="9" t="s">
        <v>1553</v>
      </c>
      <c r="C148" s="9" t="s">
        <v>1554</v>
      </c>
      <c r="D148" s="9" t="s">
        <v>1555</v>
      </c>
      <c r="E148" s="8">
        <v>93138</v>
      </c>
      <c r="F148" s="9" t="s">
        <v>89</v>
      </c>
      <c r="G148" s="9" t="s">
        <v>1556</v>
      </c>
      <c r="H148" s="8">
        <v>626150811</v>
      </c>
      <c r="I148" s="8">
        <v>78</v>
      </c>
      <c r="J148" s="8">
        <v>71</v>
      </c>
      <c r="K148" s="8">
        <v>130</v>
      </c>
      <c r="L148" s="9" t="s">
        <v>987</v>
      </c>
      <c r="M148" s="9" t="s">
        <v>998</v>
      </c>
      <c r="N148" s="8">
        <v>1</v>
      </c>
      <c r="O148" s="8">
        <v>97</v>
      </c>
      <c r="P148" s="8">
        <v>1</v>
      </c>
      <c r="Q148" s="8" t="str">
        <f>VLOOKUP(patient[[#This Row],[ID_mutuelle]],mutuelle[],2,FALSE)</f>
        <v>MUTUELLE DE FRANCE DU LACYDON</v>
      </c>
    </row>
    <row r="149" spans="1:17" x14ac:dyDescent="0.3">
      <c r="A149" s="8">
        <v>479</v>
      </c>
      <c r="B149" s="9" t="s">
        <v>1557</v>
      </c>
      <c r="C149" s="9" t="s">
        <v>1558</v>
      </c>
      <c r="D149" s="9" t="s">
        <v>1559</v>
      </c>
      <c r="E149" s="8">
        <v>78336</v>
      </c>
      <c r="F149" s="9" t="s">
        <v>269</v>
      </c>
      <c r="G149" s="9" t="s">
        <v>1560</v>
      </c>
      <c r="H149" s="8">
        <v>655821021</v>
      </c>
      <c r="I149" s="8">
        <v>4</v>
      </c>
      <c r="J149" s="8">
        <v>111</v>
      </c>
      <c r="K149" s="8">
        <v>107</v>
      </c>
      <c r="L149" s="9" t="s">
        <v>982</v>
      </c>
      <c r="M149" s="9" t="s">
        <v>993</v>
      </c>
      <c r="N149" s="8">
        <v>0</v>
      </c>
      <c r="O149" s="8">
        <v>260</v>
      </c>
      <c r="P149" s="8">
        <v>3</v>
      </c>
      <c r="Q149" s="8" t="str">
        <f>VLOOKUP(patient[[#This Row],[ID_mutuelle]],mutuelle[],2,FALSE)</f>
        <v>SUD-OUEST MUTUALITE</v>
      </c>
    </row>
    <row r="150" spans="1:17" x14ac:dyDescent="0.3">
      <c r="A150" s="8">
        <v>480</v>
      </c>
      <c r="B150" s="9" t="s">
        <v>1561</v>
      </c>
      <c r="C150" s="9" t="s">
        <v>1562</v>
      </c>
      <c r="D150" s="9" t="s">
        <v>1563</v>
      </c>
      <c r="E150" s="8">
        <v>91165</v>
      </c>
      <c r="F150" s="9" t="s">
        <v>269</v>
      </c>
      <c r="G150" s="9" t="s">
        <v>1564</v>
      </c>
      <c r="H150" s="8">
        <v>654527900</v>
      </c>
      <c r="I150" s="8">
        <v>82</v>
      </c>
      <c r="J150" s="8">
        <v>68</v>
      </c>
      <c r="K150" s="8">
        <v>124</v>
      </c>
      <c r="L150" s="9" t="s">
        <v>987</v>
      </c>
      <c r="M150" s="9" t="s">
        <v>998</v>
      </c>
      <c r="N150" s="8">
        <v>0</v>
      </c>
      <c r="O150" s="8">
        <v>61</v>
      </c>
      <c r="P150" s="8">
        <v>3</v>
      </c>
      <c r="Q150" s="8" t="str">
        <f>VLOOKUP(patient[[#This Row],[ID_mutuelle]],mutuelle[],2,FALSE)</f>
        <v>MUTAC</v>
      </c>
    </row>
    <row r="151" spans="1:17" x14ac:dyDescent="0.3">
      <c r="A151" s="8">
        <v>481</v>
      </c>
      <c r="B151" s="9" t="s">
        <v>1565</v>
      </c>
      <c r="C151" s="9" t="s">
        <v>1566</v>
      </c>
      <c r="D151" s="9" t="s">
        <v>1567</v>
      </c>
      <c r="E151" s="8">
        <v>92413</v>
      </c>
      <c r="F151" s="9" t="s">
        <v>162</v>
      </c>
      <c r="G151" s="9" t="s">
        <v>1568</v>
      </c>
      <c r="H151" s="8">
        <v>655516585</v>
      </c>
      <c r="I151" s="8">
        <v>33</v>
      </c>
      <c r="J151" s="8">
        <v>57</v>
      </c>
      <c r="K151" s="8">
        <v>164</v>
      </c>
      <c r="L151" s="9" t="s">
        <v>982</v>
      </c>
      <c r="M151" s="9" t="s">
        <v>1045</v>
      </c>
      <c r="N151" s="8">
        <v>0</v>
      </c>
      <c r="O151" s="8">
        <v>146</v>
      </c>
      <c r="P151" s="8">
        <v>3</v>
      </c>
      <c r="Q151" s="8" t="str">
        <f>VLOOKUP(patient[[#This Row],[ID_mutuelle]],mutuelle[],2,FALSE)</f>
        <v>MUTUELLE DU BATIMENT TRAVAUX PUBLICS &amp; REGIONS FRANCE &amp; EUROPE</v>
      </c>
    </row>
    <row r="152" spans="1:17" x14ac:dyDescent="0.3">
      <c r="A152" s="8">
        <v>482</v>
      </c>
      <c r="B152" s="9" t="s">
        <v>1569</v>
      </c>
      <c r="C152" s="9" t="s">
        <v>1570</v>
      </c>
      <c r="D152" s="9" t="s">
        <v>1571</v>
      </c>
      <c r="E152" s="8">
        <v>93499</v>
      </c>
      <c r="F152" s="9" t="s">
        <v>52</v>
      </c>
      <c r="G152" s="9" t="s">
        <v>1572</v>
      </c>
      <c r="H152" s="8">
        <v>647582335</v>
      </c>
      <c r="I152" s="8">
        <v>67</v>
      </c>
      <c r="J152" s="8">
        <v>31</v>
      </c>
      <c r="K152" s="8">
        <v>140</v>
      </c>
      <c r="L152" s="9" t="s">
        <v>987</v>
      </c>
      <c r="M152" s="9" t="s">
        <v>993</v>
      </c>
      <c r="N152" s="8">
        <v>1</v>
      </c>
      <c r="O152" s="8">
        <v>37</v>
      </c>
      <c r="P152" s="8">
        <v>3</v>
      </c>
      <c r="Q152" s="8" t="str">
        <f>VLOOKUP(patient[[#This Row],[ID_mutuelle]],mutuelle[],2,FALSE)</f>
        <v>LA MARSILLARGUOISE</v>
      </c>
    </row>
    <row r="153" spans="1:17" x14ac:dyDescent="0.3">
      <c r="A153" s="8">
        <v>483</v>
      </c>
      <c r="B153" s="9" t="s">
        <v>1573</v>
      </c>
      <c r="C153" s="9" t="s">
        <v>1574</v>
      </c>
      <c r="D153" s="9" t="s">
        <v>1575</v>
      </c>
      <c r="E153" s="8">
        <v>95201</v>
      </c>
      <c r="F153" s="9" t="s">
        <v>340</v>
      </c>
      <c r="G153" s="9" t="s">
        <v>1576</v>
      </c>
      <c r="H153" s="8">
        <v>634296362</v>
      </c>
      <c r="I153" s="8">
        <v>10</v>
      </c>
      <c r="J153" s="8">
        <v>55</v>
      </c>
      <c r="K153" s="8">
        <v>203</v>
      </c>
      <c r="L153" s="9" t="s">
        <v>987</v>
      </c>
      <c r="M153" s="9" t="s">
        <v>1015</v>
      </c>
      <c r="N153" s="8">
        <v>0</v>
      </c>
      <c r="O153" s="8">
        <v>157</v>
      </c>
      <c r="P153" s="8">
        <v>1</v>
      </c>
      <c r="Q153" s="8" t="str">
        <f>VLOOKUP(patient[[#This Row],[ID_mutuelle]],mutuelle[],2,FALSE)</f>
        <v>MUTUELLE DU PERSONNEL DES COLLECTIVITES TERRITORIALE DE LA REUNION</v>
      </c>
    </row>
    <row r="154" spans="1:17" x14ac:dyDescent="0.3">
      <c r="A154" s="8">
        <v>484</v>
      </c>
      <c r="B154" s="9" t="s">
        <v>1577</v>
      </c>
      <c r="C154" s="9" t="s">
        <v>1578</v>
      </c>
      <c r="D154" s="9" t="s">
        <v>1579</v>
      </c>
      <c r="E154" s="8">
        <v>75456</v>
      </c>
      <c r="F154" s="9" t="s">
        <v>52</v>
      </c>
      <c r="G154" s="9" t="s">
        <v>1580</v>
      </c>
      <c r="H154" s="8">
        <v>644132626</v>
      </c>
      <c r="I154" s="8">
        <v>73</v>
      </c>
      <c r="J154" s="8">
        <v>116</v>
      </c>
      <c r="K154" s="8">
        <v>136</v>
      </c>
      <c r="L154" s="9" t="s">
        <v>987</v>
      </c>
      <c r="M154" s="9" t="s">
        <v>993</v>
      </c>
      <c r="N154" s="8">
        <v>0</v>
      </c>
      <c r="O154" s="8">
        <v>66</v>
      </c>
      <c r="P154" s="8">
        <v>2</v>
      </c>
      <c r="Q154" s="8" t="str">
        <f>VLOOKUP(patient[[#This Row],[ID_mutuelle]],mutuelle[],2,FALSE)</f>
        <v>MUTAMI</v>
      </c>
    </row>
    <row r="155" spans="1:17" x14ac:dyDescent="0.3">
      <c r="A155" s="8">
        <v>485</v>
      </c>
      <c r="B155" s="9" t="s">
        <v>1581</v>
      </c>
      <c r="C155" s="9" t="s">
        <v>1582</v>
      </c>
      <c r="D155" s="9" t="s">
        <v>1583</v>
      </c>
      <c r="E155" s="8">
        <v>75229</v>
      </c>
      <c r="F155" s="9" t="s">
        <v>477</v>
      </c>
      <c r="G155" s="9" t="s">
        <v>1584</v>
      </c>
      <c r="H155" s="8">
        <v>664240364</v>
      </c>
      <c r="I155" s="8">
        <v>36</v>
      </c>
      <c r="J155" s="8">
        <v>22</v>
      </c>
      <c r="K155" s="8">
        <v>108</v>
      </c>
      <c r="L155" s="9" t="s">
        <v>987</v>
      </c>
      <c r="M155" s="9" t="s">
        <v>1077</v>
      </c>
      <c r="N155" s="8">
        <v>1</v>
      </c>
      <c r="O155" s="8">
        <v>167</v>
      </c>
      <c r="P155" s="8">
        <v>1</v>
      </c>
      <c r="Q155" s="8" t="str">
        <f>VLOOKUP(patient[[#This Row],[ID_mutuelle]],mutuelle[],2,FALSE)</f>
        <v>MUTUELLE ENTRAIN</v>
      </c>
    </row>
    <row r="156" spans="1:17" x14ac:dyDescent="0.3">
      <c r="A156" s="8">
        <v>486</v>
      </c>
      <c r="B156" s="9" t="s">
        <v>1585</v>
      </c>
      <c r="C156" s="9" t="s">
        <v>1586</v>
      </c>
      <c r="D156" s="9" t="s">
        <v>1587</v>
      </c>
      <c r="E156" s="8">
        <v>92272</v>
      </c>
      <c r="F156" s="9" t="s">
        <v>368</v>
      </c>
      <c r="G156" s="9" t="s">
        <v>1588</v>
      </c>
      <c r="H156" s="8">
        <v>629579364</v>
      </c>
      <c r="I156" s="8">
        <v>38</v>
      </c>
      <c r="J156" s="8">
        <v>49</v>
      </c>
      <c r="K156" s="8">
        <v>153</v>
      </c>
      <c r="L156" s="9" t="s">
        <v>987</v>
      </c>
      <c r="M156" s="9" t="s">
        <v>1015</v>
      </c>
      <c r="N156" s="8">
        <v>0</v>
      </c>
      <c r="O156" s="8">
        <v>138</v>
      </c>
      <c r="P156" s="8">
        <v>3</v>
      </c>
      <c r="Q156" s="8" t="str">
        <f>VLOOKUP(patient[[#This Row],[ID_mutuelle]],mutuelle[],2,FALSE)</f>
        <v>MUTUELLE DES SAPEURS POMPIERS</v>
      </c>
    </row>
    <row r="157" spans="1:17" x14ac:dyDescent="0.3">
      <c r="A157" s="8">
        <v>487</v>
      </c>
      <c r="B157" s="9" t="s">
        <v>1589</v>
      </c>
      <c r="C157" s="9" t="s">
        <v>1590</v>
      </c>
      <c r="D157" s="9" t="s">
        <v>1591</v>
      </c>
      <c r="E157" s="8">
        <v>78368</v>
      </c>
      <c r="F157" s="9" t="s">
        <v>109</v>
      </c>
      <c r="G157" s="9" t="s">
        <v>1592</v>
      </c>
      <c r="H157" s="8">
        <v>639729547</v>
      </c>
      <c r="I157" s="8">
        <v>106</v>
      </c>
      <c r="J157" s="8">
        <v>142</v>
      </c>
      <c r="K157" s="8">
        <v>139</v>
      </c>
      <c r="L157" s="9" t="s">
        <v>982</v>
      </c>
      <c r="M157" s="9" t="s">
        <v>993</v>
      </c>
      <c r="N157" s="8">
        <v>0</v>
      </c>
      <c r="O157" s="8">
        <v>151</v>
      </c>
      <c r="P157" s="8">
        <v>2</v>
      </c>
      <c r="Q157" s="8" t="str">
        <f>VLOOKUP(patient[[#This Row],[ID_mutuelle]],mutuelle[],2,FALSE)</f>
        <v>MUTUELLE DU GROUPE BNP PARIBAS</v>
      </c>
    </row>
    <row r="158" spans="1:17" x14ac:dyDescent="0.3">
      <c r="A158" s="8">
        <v>488</v>
      </c>
      <c r="B158" s="9" t="s">
        <v>1593</v>
      </c>
      <c r="C158" s="9" t="s">
        <v>1594</v>
      </c>
      <c r="D158" s="9" t="s">
        <v>1595</v>
      </c>
      <c r="E158" s="8">
        <v>93596</v>
      </c>
      <c r="F158" s="9" t="s">
        <v>83</v>
      </c>
      <c r="G158" s="9" t="s">
        <v>1596</v>
      </c>
      <c r="H158" s="8">
        <v>664062932</v>
      </c>
      <c r="I158" s="8">
        <v>99</v>
      </c>
      <c r="J158" s="8">
        <v>36</v>
      </c>
      <c r="K158" s="8">
        <v>124</v>
      </c>
      <c r="L158" s="9" t="s">
        <v>987</v>
      </c>
      <c r="M158" s="9" t="s">
        <v>993</v>
      </c>
      <c r="N158" s="8">
        <v>1</v>
      </c>
      <c r="O158" s="8">
        <v>197</v>
      </c>
      <c r="P158" s="8">
        <v>1</v>
      </c>
      <c r="Q158" s="8" t="str">
        <f>VLOOKUP(patient[[#This Row],[ID_mutuelle]],mutuelle[],2,FALSE)</f>
        <v>MUTUELLE LA FRANCE MARITIME</v>
      </c>
    </row>
    <row r="159" spans="1:17" x14ac:dyDescent="0.3">
      <c r="A159" s="8">
        <v>489</v>
      </c>
      <c r="B159" s="9" t="s">
        <v>1597</v>
      </c>
      <c r="C159" s="9" t="s">
        <v>1598</v>
      </c>
      <c r="D159" s="9" t="s">
        <v>1599</v>
      </c>
      <c r="E159" s="8">
        <v>91848</v>
      </c>
      <c r="F159" s="9" t="s">
        <v>32</v>
      </c>
      <c r="G159" s="9" t="s">
        <v>1600</v>
      </c>
      <c r="H159" s="8">
        <v>672686195</v>
      </c>
      <c r="I159" s="8">
        <v>10</v>
      </c>
      <c r="J159" s="8">
        <v>29</v>
      </c>
      <c r="K159" s="8">
        <v>174</v>
      </c>
      <c r="L159" s="9" t="s">
        <v>987</v>
      </c>
      <c r="M159" s="9" t="s">
        <v>1077</v>
      </c>
      <c r="N159" s="8">
        <v>0</v>
      </c>
      <c r="O159" s="8">
        <v>172</v>
      </c>
      <c r="P159" s="8">
        <v>1</v>
      </c>
      <c r="Q159" s="8" t="str">
        <f>VLOOKUP(patient[[#This Row],[ID_mutuelle]],mutuelle[],2,FALSE)</f>
        <v>MUTUELLE FAMILIALE</v>
      </c>
    </row>
    <row r="160" spans="1:17" x14ac:dyDescent="0.3">
      <c r="A160" s="8">
        <v>490</v>
      </c>
      <c r="B160" s="9" t="s">
        <v>1601</v>
      </c>
      <c r="C160" s="9" t="s">
        <v>1602</v>
      </c>
      <c r="D160" s="9" t="s">
        <v>1603</v>
      </c>
      <c r="E160" s="8">
        <v>75406</v>
      </c>
      <c r="F160" s="9" t="s">
        <v>124</v>
      </c>
      <c r="G160" s="9" t="s">
        <v>1604</v>
      </c>
      <c r="H160" s="8">
        <v>694002879</v>
      </c>
      <c r="I160" s="8">
        <v>103</v>
      </c>
      <c r="J160" s="8">
        <v>101</v>
      </c>
      <c r="K160" s="8">
        <v>148</v>
      </c>
      <c r="L160" s="9" t="s">
        <v>982</v>
      </c>
      <c r="M160" s="9" t="s">
        <v>993</v>
      </c>
      <c r="N160" s="8">
        <v>1</v>
      </c>
      <c r="O160" s="8">
        <v>12</v>
      </c>
      <c r="P160" s="8">
        <v>1</v>
      </c>
      <c r="Q160" s="8" t="str">
        <f>VLOOKUP(patient[[#This Row],[ID_mutuelle]],mutuelle[],2,FALSE)</f>
        <v>BANQUE POPULAIRE MUTUALITE</v>
      </c>
    </row>
    <row r="161" spans="1:17" x14ac:dyDescent="0.3">
      <c r="A161" s="8">
        <v>491</v>
      </c>
      <c r="B161" s="9" t="s">
        <v>1605</v>
      </c>
      <c r="C161" s="9" t="s">
        <v>1606</v>
      </c>
      <c r="D161" s="9" t="s">
        <v>1607</v>
      </c>
      <c r="E161" s="8">
        <v>94574</v>
      </c>
      <c r="F161" s="9" t="s">
        <v>77</v>
      </c>
      <c r="G161" s="9" t="s">
        <v>1608</v>
      </c>
      <c r="H161" s="8">
        <v>675722728</v>
      </c>
      <c r="I161" s="8">
        <v>24</v>
      </c>
      <c r="J161" s="8">
        <v>19</v>
      </c>
      <c r="K161" s="8">
        <v>150</v>
      </c>
      <c r="L161" s="9" t="s">
        <v>982</v>
      </c>
      <c r="M161" s="9" t="s">
        <v>1015</v>
      </c>
      <c r="N161" s="8">
        <v>1</v>
      </c>
      <c r="O161" s="8">
        <v>29</v>
      </c>
      <c r="P161" s="8">
        <v>1</v>
      </c>
      <c r="Q161" s="8" t="str">
        <f>VLOOKUP(patient[[#This Row],[ID_mutuelle]],mutuelle[],2,FALSE)</f>
        <v>IRCEM MUTUELLE</v>
      </c>
    </row>
    <row r="162" spans="1:17" x14ac:dyDescent="0.3">
      <c r="A162" s="8">
        <v>492</v>
      </c>
      <c r="B162" s="9" t="s">
        <v>1609</v>
      </c>
      <c r="C162" s="9" t="s">
        <v>1610</v>
      </c>
      <c r="D162" s="9" t="s">
        <v>1611</v>
      </c>
      <c r="E162" s="8">
        <v>91144</v>
      </c>
      <c r="F162" s="9" t="s">
        <v>25</v>
      </c>
      <c r="G162" s="9" t="s">
        <v>1612</v>
      </c>
      <c r="H162" s="8">
        <v>641037642</v>
      </c>
      <c r="I162" s="8">
        <v>50</v>
      </c>
      <c r="J162" s="8">
        <v>4</v>
      </c>
      <c r="K162" s="8">
        <v>143</v>
      </c>
      <c r="L162" s="9" t="s">
        <v>987</v>
      </c>
      <c r="M162" s="9" t="s">
        <v>1045</v>
      </c>
      <c r="N162" s="8">
        <v>0</v>
      </c>
      <c r="O162" s="8">
        <v>95</v>
      </c>
      <c r="P162" s="8">
        <v>1</v>
      </c>
      <c r="Q162" s="8" t="str">
        <f>VLOOKUP(patient[[#This Row],[ID_mutuelle]],mutuelle[],2,FALSE)</f>
        <v>MUTUELLE DE FRANCE ALPES DU SUD</v>
      </c>
    </row>
    <row r="163" spans="1:17" x14ac:dyDescent="0.3">
      <c r="A163" s="8">
        <v>493</v>
      </c>
      <c r="B163" s="9" t="s">
        <v>1613</v>
      </c>
      <c r="C163" s="9" t="s">
        <v>1614</v>
      </c>
      <c r="D163" s="9" t="s">
        <v>1615</v>
      </c>
      <c r="E163" s="8">
        <v>75901</v>
      </c>
      <c r="F163" s="9" t="s">
        <v>25</v>
      </c>
      <c r="G163" s="9" t="s">
        <v>1616</v>
      </c>
      <c r="H163" s="8">
        <v>622579481</v>
      </c>
      <c r="I163" s="8">
        <v>51</v>
      </c>
      <c r="J163" s="8">
        <v>88</v>
      </c>
      <c r="K163" s="8">
        <v>139</v>
      </c>
      <c r="L163" s="9" t="s">
        <v>982</v>
      </c>
      <c r="M163" s="9" t="s">
        <v>993</v>
      </c>
      <c r="N163" s="8">
        <v>0</v>
      </c>
      <c r="O163" s="8">
        <v>82</v>
      </c>
      <c r="P163" s="8">
        <v>3</v>
      </c>
      <c r="Q163" s="8" t="str">
        <f>VLOOKUP(patient[[#This Row],[ID_mutuelle]],mutuelle[],2,FALSE)</f>
        <v>MUTUELLE COMPLEMENTAIRE D'ALSACE</v>
      </c>
    </row>
    <row r="164" spans="1:17" x14ac:dyDescent="0.3">
      <c r="A164" s="8">
        <v>494</v>
      </c>
      <c r="B164" s="9" t="s">
        <v>1617</v>
      </c>
      <c r="C164" s="9" t="s">
        <v>1618</v>
      </c>
      <c r="D164" s="9" t="s">
        <v>1619</v>
      </c>
      <c r="E164" s="8">
        <v>91561</v>
      </c>
      <c r="F164" s="9" t="s">
        <v>477</v>
      </c>
      <c r="G164" s="9" t="s">
        <v>1620</v>
      </c>
      <c r="H164" s="8">
        <v>669329004</v>
      </c>
      <c r="I164" s="8">
        <v>67</v>
      </c>
      <c r="J164" s="8">
        <v>54</v>
      </c>
      <c r="K164" s="8">
        <v>154</v>
      </c>
      <c r="L164" s="9" t="s">
        <v>987</v>
      </c>
      <c r="M164" s="9" t="s">
        <v>993</v>
      </c>
      <c r="N164" s="8">
        <v>1</v>
      </c>
      <c r="O164" s="8">
        <v>154</v>
      </c>
      <c r="P164" s="8">
        <v>2</v>
      </c>
      <c r="Q164" s="8" t="str">
        <f>VLOOKUP(patient[[#This Row],[ID_mutuelle]],mutuelle[],2,FALSE)</f>
        <v>MUTUELLE DU MONDE COMBATTANT</v>
      </c>
    </row>
    <row r="165" spans="1:17" x14ac:dyDescent="0.3">
      <c r="A165" s="8">
        <v>495</v>
      </c>
      <c r="B165" s="9" t="s">
        <v>1621</v>
      </c>
      <c r="C165" s="9" t="s">
        <v>1622</v>
      </c>
      <c r="D165" s="9" t="s">
        <v>1623</v>
      </c>
      <c r="E165" s="8">
        <v>92793</v>
      </c>
      <c r="F165" s="9" t="s">
        <v>208</v>
      </c>
      <c r="G165" s="9" t="s">
        <v>1624</v>
      </c>
      <c r="H165" s="8">
        <v>618430543</v>
      </c>
      <c r="I165" s="8">
        <v>76</v>
      </c>
      <c r="J165" s="8">
        <v>143</v>
      </c>
      <c r="K165" s="8">
        <v>102</v>
      </c>
      <c r="L165" s="9" t="s">
        <v>987</v>
      </c>
      <c r="M165" s="9" t="s">
        <v>983</v>
      </c>
      <c r="N165" s="8">
        <v>1</v>
      </c>
      <c r="O165" s="8">
        <v>36</v>
      </c>
      <c r="P165" s="8">
        <v>1</v>
      </c>
      <c r="Q165" s="8" t="str">
        <f>VLOOKUP(patient[[#This Row],[ID_mutuelle]],mutuelle[],2,FALSE)</f>
        <v>LA FRATERNITE</v>
      </c>
    </row>
    <row r="166" spans="1:17" x14ac:dyDescent="0.3">
      <c r="A166" s="8">
        <v>496</v>
      </c>
      <c r="B166" s="9" t="s">
        <v>1625</v>
      </c>
      <c r="C166" s="9" t="s">
        <v>1626</v>
      </c>
      <c r="D166" s="9" t="s">
        <v>1627</v>
      </c>
      <c r="E166" s="8">
        <v>78875</v>
      </c>
      <c r="F166" s="9" t="s">
        <v>288</v>
      </c>
      <c r="G166" s="9" t="s">
        <v>1628</v>
      </c>
      <c r="H166" s="8">
        <v>630566588</v>
      </c>
      <c r="I166" s="8">
        <v>49</v>
      </c>
      <c r="J166" s="8">
        <v>18</v>
      </c>
      <c r="K166" s="8">
        <v>220</v>
      </c>
      <c r="L166" s="9" t="s">
        <v>987</v>
      </c>
      <c r="M166" s="9" t="s">
        <v>993</v>
      </c>
      <c r="N166" s="8">
        <v>1</v>
      </c>
      <c r="O166" s="8">
        <v>141</v>
      </c>
      <c r="P166" s="8">
        <v>1</v>
      </c>
      <c r="Q166" s="8" t="str">
        <f>VLOOKUP(patient[[#This Row],[ID_mutuelle]],mutuelle[],2,FALSE)</f>
        <v>MUTUELLE DES SERVICES PUBLICS</v>
      </c>
    </row>
    <row r="167" spans="1:17" x14ac:dyDescent="0.3">
      <c r="A167" s="8">
        <v>497</v>
      </c>
      <c r="B167" s="9" t="s">
        <v>1629</v>
      </c>
      <c r="C167" s="9" t="s">
        <v>1630</v>
      </c>
      <c r="D167" s="9" t="s">
        <v>1631</v>
      </c>
      <c r="E167" s="8">
        <v>78244</v>
      </c>
      <c r="F167" s="9" t="s">
        <v>162</v>
      </c>
      <c r="G167" s="9" t="s">
        <v>1632</v>
      </c>
      <c r="H167" s="8">
        <v>666479693</v>
      </c>
      <c r="I167" s="8">
        <v>11</v>
      </c>
      <c r="J167" s="8">
        <v>46</v>
      </c>
      <c r="K167" s="8">
        <v>183</v>
      </c>
      <c r="L167" s="9" t="s">
        <v>982</v>
      </c>
      <c r="M167" s="9" t="s">
        <v>998</v>
      </c>
      <c r="N167" s="8">
        <v>1</v>
      </c>
      <c r="O167" s="8">
        <v>234</v>
      </c>
      <c r="P167" s="8">
        <v>2</v>
      </c>
      <c r="Q167" s="8" t="str">
        <f>VLOOKUP(patient[[#This Row],[ID_mutuelle]],mutuelle[],2,FALSE)</f>
        <v>MUTUELLE VIASANTE</v>
      </c>
    </row>
    <row r="168" spans="1:17" x14ac:dyDescent="0.3">
      <c r="A168" s="8">
        <v>498</v>
      </c>
      <c r="B168" s="9" t="s">
        <v>1537</v>
      </c>
      <c r="C168" s="9" t="s">
        <v>1633</v>
      </c>
      <c r="D168" s="9" t="s">
        <v>1634</v>
      </c>
      <c r="E168" s="8">
        <v>91834</v>
      </c>
      <c r="F168" s="9" t="s">
        <v>32</v>
      </c>
      <c r="G168" s="9" t="s">
        <v>1635</v>
      </c>
      <c r="H168" s="8">
        <v>674438994</v>
      </c>
      <c r="I168" s="8">
        <v>31</v>
      </c>
      <c r="J168" s="8">
        <v>103</v>
      </c>
      <c r="K168" s="8">
        <v>229</v>
      </c>
      <c r="L168" s="9" t="s">
        <v>982</v>
      </c>
      <c r="M168" s="9" t="s">
        <v>988</v>
      </c>
      <c r="N168" s="8">
        <v>0</v>
      </c>
      <c r="O168" s="8">
        <v>33</v>
      </c>
      <c r="P168" s="8">
        <v>3</v>
      </c>
      <c r="Q168" s="8" t="str">
        <f>VLOOKUP(patient[[#This Row],[ID_mutuelle]],mutuelle[],2,FALSE)</f>
        <v>LA FRATERNELLE</v>
      </c>
    </row>
    <row r="169" spans="1:17" x14ac:dyDescent="0.3">
      <c r="A169" s="8">
        <v>499</v>
      </c>
      <c r="B169" s="9" t="s">
        <v>1636</v>
      </c>
      <c r="C169" s="9" t="s">
        <v>1637</v>
      </c>
      <c r="D169" s="9" t="s">
        <v>1638</v>
      </c>
      <c r="E169" s="8">
        <v>95811</v>
      </c>
      <c r="F169" s="9" t="s">
        <v>194</v>
      </c>
      <c r="G169" s="9" t="s">
        <v>1639</v>
      </c>
      <c r="H169" s="8">
        <v>634626624</v>
      </c>
      <c r="I169" s="8">
        <v>70</v>
      </c>
      <c r="J169" s="8">
        <v>94</v>
      </c>
      <c r="K169" s="8">
        <v>117</v>
      </c>
      <c r="L169" s="9" t="s">
        <v>982</v>
      </c>
      <c r="M169" s="9" t="s">
        <v>993</v>
      </c>
      <c r="N169" s="8">
        <v>1</v>
      </c>
      <c r="O169" s="8">
        <v>120</v>
      </c>
      <c r="P169" s="8">
        <v>1</v>
      </c>
      <c r="Q169" s="8" t="str">
        <f>VLOOKUP(patient[[#This Row],[ID_mutuelle]],mutuelle[],2,FALSE)</f>
        <v>MUTUELLE DES CHAMBRES DE COMMERCE ET D'INDUSTRIE</v>
      </c>
    </row>
    <row r="170" spans="1:17" x14ac:dyDescent="0.3">
      <c r="A170" s="8">
        <v>500</v>
      </c>
      <c r="B170" s="9" t="s">
        <v>1280</v>
      </c>
      <c r="C170" s="9" t="s">
        <v>729</v>
      </c>
      <c r="D170" s="9" t="s">
        <v>1640</v>
      </c>
      <c r="E170" s="8">
        <v>95454</v>
      </c>
      <c r="F170" s="9" t="s">
        <v>340</v>
      </c>
      <c r="G170" s="9" t="s">
        <v>1641</v>
      </c>
      <c r="H170" s="8">
        <v>658941795</v>
      </c>
      <c r="I170" s="8">
        <v>22</v>
      </c>
      <c r="J170" s="8">
        <v>120</v>
      </c>
      <c r="K170" s="8">
        <v>85</v>
      </c>
      <c r="L170" s="9" t="s">
        <v>982</v>
      </c>
      <c r="M170" s="9" t="s">
        <v>983</v>
      </c>
      <c r="N170" s="8">
        <v>0</v>
      </c>
      <c r="O170" s="8">
        <v>182</v>
      </c>
      <c r="P170" s="8">
        <v>3</v>
      </c>
      <c r="Q170" s="8" t="str">
        <f>VLOOKUP(patient[[#This Row],[ID_mutuelle]],mutuelle[],2,FALSE)</f>
        <v>MUTUELLE GENERALE DES CHEMINOTS</v>
      </c>
    </row>
    <row r="171" spans="1:17" x14ac:dyDescent="0.3">
      <c r="A171" s="8">
        <v>501</v>
      </c>
      <c r="B171" s="9" t="s">
        <v>1642</v>
      </c>
      <c r="C171" s="9" t="s">
        <v>1643</v>
      </c>
      <c r="D171" s="9" t="s">
        <v>1644</v>
      </c>
      <c r="E171" s="8">
        <v>94648</v>
      </c>
      <c r="F171" s="9" t="s">
        <v>58</v>
      </c>
      <c r="G171" s="9" t="s">
        <v>1645</v>
      </c>
      <c r="H171" s="8">
        <v>654836192</v>
      </c>
      <c r="I171" s="8">
        <v>82</v>
      </c>
      <c r="J171" s="8">
        <v>106</v>
      </c>
      <c r="K171" s="8">
        <v>163</v>
      </c>
      <c r="L171" s="9" t="s">
        <v>982</v>
      </c>
      <c r="M171" s="9" t="s">
        <v>1015</v>
      </c>
      <c r="N171" s="8">
        <v>1</v>
      </c>
      <c r="O171" s="8">
        <v>165</v>
      </c>
      <c r="P171" s="8">
        <v>3</v>
      </c>
      <c r="Q171" s="8" t="str">
        <f>VLOOKUP(patient[[#This Row],[ID_mutuelle]],mutuelle[],2,FALSE)</f>
        <v>MUTUELLE DU TELEGRAMME</v>
      </c>
    </row>
    <row r="172" spans="1:17" x14ac:dyDescent="0.3">
      <c r="A172" s="8">
        <v>502</v>
      </c>
      <c r="B172" s="9" t="s">
        <v>1646</v>
      </c>
      <c r="C172" s="9" t="s">
        <v>887</v>
      </c>
      <c r="D172" s="9" t="s">
        <v>1647</v>
      </c>
      <c r="E172" s="8">
        <v>94159</v>
      </c>
      <c r="F172" s="9" t="s">
        <v>25</v>
      </c>
      <c r="G172" s="9" t="s">
        <v>1648</v>
      </c>
      <c r="H172" s="8">
        <v>646130691</v>
      </c>
      <c r="I172" s="8">
        <v>103</v>
      </c>
      <c r="J172" s="8">
        <v>16</v>
      </c>
      <c r="K172" s="8">
        <v>170</v>
      </c>
      <c r="L172" s="9" t="s">
        <v>982</v>
      </c>
      <c r="M172" s="9" t="s">
        <v>1077</v>
      </c>
      <c r="N172" s="8">
        <v>1</v>
      </c>
      <c r="O172" s="8">
        <v>78</v>
      </c>
      <c r="P172" s="8">
        <v>2</v>
      </c>
      <c r="Q172" s="8" t="str">
        <f>VLOOKUP(patient[[#This Row],[ID_mutuelle]],mutuelle[],2,FALSE)</f>
        <v>MUTUELLE CENTRALE DES FINANCES</v>
      </c>
    </row>
    <row r="173" spans="1:17" x14ac:dyDescent="0.3">
      <c r="A173" s="8">
        <v>503</v>
      </c>
      <c r="B173" s="9" t="s">
        <v>1649</v>
      </c>
      <c r="C173" s="9" t="s">
        <v>1650</v>
      </c>
      <c r="D173" s="9" t="s">
        <v>1651</v>
      </c>
      <c r="E173" s="8">
        <v>75459</v>
      </c>
      <c r="F173" s="9" t="s">
        <v>58</v>
      </c>
      <c r="G173" s="9" t="s">
        <v>1652</v>
      </c>
      <c r="H173" s="8">
        <v>647343865</v>
      </c>
      <c r="I173" s="8">
        <v>103</v>
      </c>
      <c r="J173" s="8">
        <v>101</v>
      </c>
      <c r="K173" s="8">
        <v>197</v>
      </c>
      <c r="L173" s="9" t="s">
        <v>982</v>
      </c>
      <c r="M173" s="9" t="s">
        <v>983</v>
      </c>
      <c r="N173" s="8">
        <v>0</v>
      </c>
      <c r="O173" s="8">
        <v>48</v>
      </c>
      <c r="P173" s="8">
        <v>1</v>
      </c>
      <c r="Q173" s="8" t="str">
        <f>VLOOKUP(patient[[#This Row],[ID_mutuelle]],mutuelle[],2,FALSE)</f>
        <v>MACIF MUTUALITE</v>
      </c>
    </row>
    <row r="174" spans="1:17" x14ac:dyDescent="0.3">
      <c r="A174" s="8">
        <v>504</v>
      </c>
      <c r="B174" s="9" t="s">
        <v>1653</v>
      </c>
      <c r="C174" s="9" t="s">
        <v>1654</v>
      </c>
      <c r="D174" s="9" t="s">
        <v>1655</v>
      </c>
      <c r="E174" s="8">
        <v>75376</v>
      </c>
      <c r="F174" s="9" t="s">
        <v>109</v>
      </c>
      <c r="G174" s="9" t="s">
        <v>1656</v>
      </c>
      <c r="H174" s="8">
        <v>631426330</v>
      </c>
      <c r="I174" s="8">
        <v>98</v>
      </c>
      <c r="J174" s="8">
        <v>37</v>
      </c>
      <c r="K174" s="8">
        <v>158</v>
      </c>
      <c r="L174" s="9" t="s">
        <v>987</v>
      </c>
      <c r="M174" s="9" t="s">
        <v>1032</v>
      </c>
      <c r="N174" s="8">
        <v>1</v>
      </c>
      <c r="O174" s="8">
        <v>60</v>
      </c>
      <c r="P174" s="8">
        <v>3</v>
      </c>
      <c r="Q174" s="8" t="str">
        <f>VLOOKUP(patient[[#This Row],[ID_mutuelle]],mutuelle[],2,FALSE)</f>
        <v>MUROS</v>
      </c>
    </row>
    <row r="175" spans="1:17" x14ac:dyDescent="0.3">
      <c r="A175" s="8">
        <v>505</v>
      </c>
      <c r="B175" s="9" t="s">
        <v>1657</v>
      </c>
      <c r="C175" s="9" t="s">
        <v>1343</v>
      </c>
      <c r="D175" s="9" t="s">
        <v>1658</v>
      </c>
      <c r="E175" s="8">
        <v>91746</v>
      </c>
      <c r="F175" s="9" t="s">
        <v>52</v>
      </c>
      <c r="G175" s="9" t="s">
        <v>1659</v>
      </c>
      <c r="H175" s="8">
        <v>669837550</v>
      </c>
      <c r="I175" s="8">
        <v>64</v>
      </c>
      <c r="J175" s="8">
        <v>36</v>
      </c>
      <c r="K175" s="8">
        <v>90</v>
      </c>
      <c r="L175" s="9" t="s">
        <v>982</v>
      </c>
      <c r="M175" s="9" t="s">
        <v>1015</v>
      </c>
      <c r="N175" s="8">
        <v>0</v>
      </c>
      <c r="O175" s="8">
        <v>192</v>
      </c>
      <c r="P175" s="8">
        <v>1</v>
      </c>
      <c r="Q175" s="8" t="str">
        <f>VLOOKUP(patient[[#This Row],[ID_mutuelle]],mutuelle[],2,FALSE)</f>
        <v>MUTUELLE INTERPROFESSIONNELLE ANTILLES GUYANE (MIAG)</v>
      </c>
    </row>
    <row r="176" spans="1:17" x14ac:dyDescent="0.3">
      <c r="A176" s="8">
        <v>506</v>
      </c>
      <c r="B176" s="9" t="s">
        <v>1660</v>
      </c>
      <c r="C176" s="9" t="s">
        <v>1661</v>
      </c>
      <c r="D176" s="9" t="s">
        <v>1662</v>
      </c>
      <c r="E176" s="8">
        <v>91589</v>
      </c>
      <c r="F176" s="9" t="s">
        <v>257</v>
      </c>
      <c r="G176" s="9" t="s">
        <v>1663</v>
      </c>
      <c r="H176" s="8">
        <v>657196890</v>
      </c>
      <c r="I176" s="8">
        <v>6</v>
      </c>
      <c r="J176" s="8">
        <v>87</v>
      </c>
      <c r="K176" s="8">
        <v>156</v>
      </c>
      <c r="L176" s="9" t="s">
        <v>987</v>
      </c>
      <c r="M176" s="9" t="s">
        <v>993</v>
      </c>
      <c r="N176" s="8">
        <v>1</v>
      </c>
      <c r="O176" s="8">
        <v>54</v>
      </c>
      <c r="P176" s="8">
        <v>3</v>
      </c>
      <c r="Q176" s="8" t="str">
        <f>VLOOKUP(patient[[#This Row],[ID_mutuelle]],mutuelle[],2,FALSE)</f>
        <v>MGDF - MUTUELLE GOODYEAR DUNLOP FRANCE</v>
      </c>
    </row>
    <row r="177" spans="1:17" x14ac:dyDescent="0.3">
      <c r="A177" s="8">
        <v>507</v>
      </c>
      <c r="B177" s="9" t="s">
        <v>1664</v>
      </c>
      <c r="C177" s="9" t="s">
        <v>1665</v>
      </c>
      <c r="D177" s="9" t="s">
        <v>1666</v>
      </c>
      <c r="E177" s="8">
        <v>78266</v>
      </c>
      <c r="F177" s="9" t="s">
        <v>65</v>
      </c>
      <c r="G177" s="9" t="s">
        <v>1667</v>
      </c>
      <c r="H177" s="8">
        <v>697885266</v>
      </c>
      <c r="I177" s="8">
        <v>95</v>
      </c>
      <c r="J177" s="8">
        <v>92</v>
      </c>
      <c r="K177" s="8">
        <v>96</v>
      </c>
      <c r="L177" s="9" t="s">
        <v>987</v>
      </c>
      <c r="M177" s="9" t="s">
        <v>993</v>
      </c>
      <c r="N177" s="8">
        <v>0</v>
      </c>
      <c r="O177" s="8">
        <v>119</v>
      </c>
      <c r="P177" s="8">
        <v>3</v>
      </c>
      <c r="Q177" s="8" t="str">
        <f>VLOOKUP(patient[[#This Row],[ID_mutuelle]],mutuelle[],2,FALSE)</f>
        <v>MUTUELLE DES AUTEURS COMPOSITEURS ET EDITEURS DE MUSIQUE</v>
      </c>
    </row>
    <row r="178" spans="1:17" x14ac:dyDescent="0.3">
      <c r="A178" s="8">
        <v>508</v>
      </c>
      <c r="B178" s="9" t="s">
        <v>1668</v>
      </c>
      <c r="C178" s="9" t="s">
        <v>1669</v>
      </c>
      <c r="D178" s="9" t="s">
        <v>1670</v>
      </c>
      <c r="E178" s="8">
        <v>78689</v>
      </c>
      <c r="F178" s="9" t="s">
        <v>77</v>
      </c>
      <c r="G178" s="9" t="s">
        <v>1671</v>
      </c>
      <c r="H178" s="8">
        <v>646996613</v>
      </c>
      <c r="I178" s="8">
        <v>69</v>
      </c>
      <c r="J178" s="8">
        <v>92</v>
      </c>
      <c r="K178" s="8">
        <v>109</v>
      </c>
      <c r="L178" s="9" t="s">
        <v>982</v>
      </c>
      <c r="M178" s="9" t="s">
        <v>993</v>
      </c>
      <c r="N178" s="8">
        <v>0</v>
      </c>
      <c r="O178" s="8">
        <v>147</v>
      </c>
      <c r="P178" s="8">
        <v>3</v>
      </c>
      <c r="Q178" s="8" t="str">
        <f>VLOOKUP(patient[[#This Row],[ID_mutuelle]],mutuelle[],2,FALSE)</f>
        <v>MUTUELLE DU CHAMPAGNE</v>
      </c>
    </row>
    <row r="179" spans="1:17" x14ac:dyDescent="0.3">
      <c r="A179" s="8">
        <v>509</v>
      </c>
      <c r="B179" s="9" t="s">
        <v>1672</v>
      </c>
      <c r="C179" s="9" t="s">
        <v>1673</v>
      </c>
      <c r="D179" s="9" t="s">
        <v>1674</v>
      </c>
      <c r="E179" s="8">
        <v>91888</v>
      </c>
      <c r="F179" s="9" t="s">
        <v>89</v>
      </c>
      <c r="G179" s="9" t="s">
        <v>1675</v>
      </c>
      <c r="H179" s="8">
        <v>648796201</v>
      </c>
      <c r="I179" s="8">
        <v>86</v>
      </c>
      <c r="J179" s="8">
        <v>20</v>
      </c>
      <c r="K179" s="8">
        <v>86</v>
      </c>
      <c r="L179" s="9" t="s">
        <v>987</v>
      </c>
      <c r="M179" s="9" t="s">
        <v>1032</v>
      </c>
      <c r="N179" s="8">
        <v>1</v>
      </c>
      <c r="O179" s="8">
        <v>177</v>
      </c>
      <c r="P179" s="8">
        <v>1</v>
      </c>
      <c r="Q179" s="8" t="str">
        <f>VLOOKUP(patient[[#This Row],[ID_mutuelle]],mutuelle[],2,FALSE)</f>
        <v>MUTUELLE GENERALE DE L'EDUCATION NATIONALE</v>
      </c>
    </row>
    <row r="180" spans="1:17" x14ac:dyDescent="0.3">
      <c r="A180" s="8">
        <v>510</v>
      </c>
      <c r="B180" s="9" t="s">
        <v>788</v>
      </c>
      <c r="C180" s="9" t="s">
        <v>1676</v>
      </c>
      <c r="D180" s="9" t="s">
        <v>1677</v>
      </c>
      <c r="E180" s="8">
        <v>95165</v>
      </c>
      <c r="F180" s="9" t="s">
        <v>89</v>
      </c>
      <c r="G180" s="9" t="s">
        <v>1678</v>
      </c>
      <c r="H180" s="8">
        <v>641508041</v>
      </c>
      <c r="I180" s="8">
        <v>54</v>
      </c>
      <c r="J180" s="8">
        <v>109</v>
      </c>
      <c r="K180" s="8">
        <v>128</v>
      </c>
      <c r="L180" s="9" t="s">
        <v>982</v>
      </c>
      <c r="M180" s="9" t="s">
        <v>993</v>
      </c>
      <c r="N180" s="8">
        <v>1</v>
      </c>
      <c r="O180" s="8">
        <v>207</v>
      </c>
      <c r="P180" s="8">
        <v>1</v>
      </c>
      <c r="Q180" s="8" t="str">
        <f>VLOOKUP(patient[[#This Row],[ID_mutuelle]],mutuelle[],2,FALSE)</f>
        <v>MUTUELLE MFTSV</v>
      </c>
    </row>
    <row r="181" spans="1:17" x14ac:dyDescent="0.3">
      <c r="A181" s="8">
        <v>511</v>
      </c>
      <c r="B181" s="9" t="s">
        <v>1679</v>
      </c>
      <c r="C181" s="9" t="s">
        <v>1680</v>
      </c>
      <c r="D181" s="9" t="s">
        <v>1681</v>
      </c>
      <c r="E181" s="8">
        <v>92381</v>
      </c>
      <c r="F181" s="9" t="s">
        <v>32</v>
      </c>
      <c r="G181" s="9" t="s">
        <v>1682</v>
      </c>
      <c r="H181" s="8">
        <v>676564072</v>
      </c>
      <c r="I181" s="8">
        <v>26</v>
      </c>
      <c r="J181" s="8">
        <v>98</v>
      </c>
      <c r="K181" s="8">
        <v>91</v>
      </c>
      <c r="L181" s="9" t="s">
        <v>982</v>
      </c>
      <c r="M181" s="9" t="s">
        <v>983</v>
      </c>
      <c r="N181" s="8">
        <v>0</v>
      </c>
      <c r="O181" s="8">
        <v>168</v>
      </c>
      <c r="P181" s="8">
        <v>1</v>
      </c>
      <c r="Q181" s="8" t="str">
        <f>VLOOKUP(patient[[#This Row],[ID_mutuelle]],mutuelle[],2,FALSE)</f>
        <v>MUTUELLE ENTRENOUS</v>
      </c>
    </row>
    <row r="182" spans="1:17" x14ac:dyDescent="0.3">
      <c r="A182" s="8">
        <v>512</v>
      </c>
      <c r="B182" s="9" t="s">
        <v>1683</v>
      </c>
      <c r="C182" s="9" t="s">
        <v>1684</v>
      </c>
      <c r="D182" s="9" t="s">
        <v>1685</v>
      </c>
      <c r="E182" s="8">
        <v>75573</v>
      </c>
      <c r="F182" s="9" t="s">
        <v>46</v>
      </c>
      <c r="G182" s="9" t="s">
        <v>1686</v>
      </c>
      <c r="H182" s="8">
        <v>635019382</v>
      </c>
      <c r="I182" s="8">
        <v>101</v>
      </c>
      <c r="J182" s="8">
        <v>145</v>
      </c>
      <c r="K182" s="8">
        <v>88</v>
      </c>
      <c r="L182" s="9" t="s">
        <v>987</v>
      </c>
      <c r="M182" s="9" t="s">
        <v>1077</v>
      </c>
      <c r="N182" s="8">
        <v>1</v>
      </c>
      <c r="O182" s="8">
        <v>100</v>
      </c>
      <c r="P182" s="8">
        <v>1</v>
      </c>
      <c r="Q182" s="8" t="str">
        <f>VLOOKUP(patient[[#This Row],[ID_mutuelle]],mutuelle[],2,FALSE)</f>
        <v>MUTUELLE DE L'ENSEIGNEMENT CATHOLIQUE DES COTES D'ARMOR</v>
      </c>
    </row>
    <row r="183" spans="1:17" x14ac:dyDescent="0.3">
      <c r="A183" s="8">
        <v>513</v>
      </c>
      <c r="B183" s="9" t="s">
        <v>1687</v>
      </c>
      <c r="C183" s="9" t="s">
        <v>1688</v>
      </c>
      <c r="D183" s="9" t="s">
        <v>1689</v>
      </c>
      <c r="E183" s="8">
        <v>75423</v>
      </c>
      <c r="F183" s="9" t="s">
        <v>218</v>
      </c>
      <c r="G183" s="9" t="s">
        <v>1690</v>
      </c>
      <c r="H183" s="8">
        <v>644428697</v>
      </c>
      <c r="I183" s="8">
        <v>37</v>
      </c>
      <c r="J183" s="8">
        <v>9</v>
      </c>
      <c r="K183" s="8">
        <v>111</v>
      </c>
      <c r="L183" s="9" t="s">
        <v>987</v>
      </c>
      <c r="M183" s="9" t="s">
        <v>993</v>
      </c>
      <c r="N183" s="8">
        <v>1</v>
      </c>
      <c r="O183" s="8">
        <v>274</v>
      </c>
      <c r="P183" s="8">
        <v>2</v>
      </c>
      <c r="Q183" s="8" t="str">
        <f>VLOOKUP(patient[[#This Row],[ID_mutuelle]],mutuelle[],2,FALSE)</f>
        <v>525ÈME MUTUELLE D'ENTREPRISES</v>
      </c>
    </row>
    <row r="184" spans="1:17" x14ac:dyDescent="0.3">
      <c r="A184" s="8">
        <v>514</v>
      </c>
      <c r="B184" s="9" t="s">
        <v>872</v>
      </c>
      <c r="C184" s="9" t="s">
        <v>1691</v>
      </c>
      <c r="D184" s="9" t="s">
        <v>1692</v>
      </c>
      <c r="E184" s="8">
        <v>95703</v>
      </c>
      <c r="F184" s="9" t="s">
        <v>52</v>
      </c>
      <c r="G184" s="9" t="s">
        <v>1693</v>
      </c>
      <c r="H184" s="8">
        <v>620514206</v>
      </c>
      <c r="I184" s="8">
        <v>3</v>
      </c>
      <c r="J184" s="8">
        <v>67</v>
      </c>
      <c r="K184" s="8">
        <v>136</v>
      </c>
      <c r="L184" s="9" t="s">
        <v>982</v>
      </c>
      <c r="M184" s="9" t="s">
        <v>993</v>
      </c>
      <c r="N184" s="8">
        <v>0</v>
      </c>
      <c r="O184" s="8">
        <v>247</v>
      </c>
      <c r="P184" s="8">
        <v>1</v>
      </c>
      <c r="Q184" s="8" t="str">
        <f>VLOOKUP(patient[[#This Row],[ID_mutuelle]],mutuelle[],2,FALSE)</f>
        <v>SOCIETE DE PREVOYANCE MUTUALISTE DU PERSONNEL DE LA BANQUE DE FRANCE</v>
      </c>
    </row>
    <row r="185" spans="1:17" x14ac:dyDescent="0.3">
      <c r="A185" s="8">
        <v>516</v>
      </c>
      <c r="B185" s="9" t="s">
        <v>1694</v>
      </c>
      <c r="C185" s="9" t="s">
        <v>1695</v>
      </c>
      <c r="D185" s="9" t="s">
        <v>1696</v>
      </c>
      <c r="E185" s="8">
        <v>95609</v>
      </c>
      <c r="F185" s="9" t="s">
        <v>257</v>
      </c>
      <c r="G185" s="9" t="s">
        <v>1697</v>
      </c>
      <c r="H185" s="8">
        <v>674869026</v>
      </c>
      <c r="I185" s="8">
        <v>78</v>
      </c>
      <c r="J185" s="8">
        <v>106</v>
      </c>
      <c r="K185" s="8">
        <v>97</v>
      </c>
      <c r="L185" s="9" t="s">
        <v>982</v>
      </c>
      <c r="M185" s="9" t="s">
        <v>993</v>
      </c>
      <c r="N185" s="8">
        <v>1</v>
      </c>
      <c r="O185" s="8">
        <v>7</v>
      </c>
      <c r="P185" s="8">
        <v>3</v>
      </c>
      <c r="Q185" s="8" t="str">
        <f>VLOOKUP(patient[[#This Row],[ID_mutuelle]],mutuelle[],2,FALSE)</f>
        <v>APIVIA MUTUELLE</v>
      </c>
    </row>
    <row r="186" spans="1:17" x14ac:dyDescent="0.3">
      <c r="A186" s="8">
        <v>517</v>
      </c>
      <c r="B186" s="9" t="s">
        <v>1698</v>
      </c>
      <c r="C186" s="9" t="s">
        <v>1699</v>
      </c>
      <c r="D186" s="9" t="s">
        <v>1700</v>
      </c>
      <c r="E186" s="8">
        <v>91573</v>
      </c>
      <c r="F186" s="9" t="s">
        <v>368</v>
      </c>
      <c r="G186" s="9" t="s">
        <v>1701</v>
      </c>
      <c r="H186" s="8">
        <v>666716688</v>
      </c>
      <c r="I186" s="8">
        <v>12</v>
      </c>
      <c r="J186" s="8">
        <v>141</v>
      </c>
      <c r="K186" s="8">
        <v>168</v>
      </c>
      <c r="L186" s="9" t="s">
        <v>982</v>
      </c>
      <c r="M186" s="9" t="s">
        <v>983</v>
      </c>
      <c r="N186" s="8">
        <v>0</v>
      </c>
      <c r="O186" s="8">
        <v>134</v>
      </c>
      <c r="P186" s="8">
        <v>1</v>
      </c>
      <c r="Q186" s="8" t="str">
        <f>VLOOKUP(patient[[#This Row],[ID_mutuelle]],mutuelle[],2,FALSE)</f>
        <v>MUTUELLE DES PERSONNELS DU CH MONTPERRIN</v>
      </c>
    </row>
    <row r="187" spans="1:17" x14ac:dyDescent="0.3">
      <c r="A187" s="8">
        <v>518</v>
      </c>
      <c r="B187" s="9" t="s">
        <v>1702</v>
      </c>
      <c r="C187" s="9" t="s">
        <v>1703</v>
      </c>
      <c r="D187" s="9" t="s">
        <v>1704</v>
      </c>
      <c r="E187" s="8">
        <v>75443</v>
      </c>
      <c r="F187" s="9" t="s">
        <v>39</v>
      </c>
      <c r="G187" s="9" t="s">
        <v>1705</v>
      </c>
      <c r="H187" s="8">
        <v>622763907</v>
      </c>
      <c r="I187" s="8">
        <v>85</v>
      </c>
      <c r="J187" s="8">
        <v>123</v>
      </c>
      <c r="K187" s="8">
        <v>196</v>
      </c>
      <c r="L187" s="9" t="s">
        <v>982</v>
      </c>
      <c r="M187" s="9" t="s">
        <v>1077</v>
      </c>
      <c r="N187" s="8">
        <v>0</v>
      </c>
      <c r="O187" s="8">
        <v>268</v>
      </c>
      <c r="P187" s="8">
        <v>1</v>
      </c>
      <c r="Q187" s="8" t="str">
        <f>VLOOKUP(patient[[#This Row],[ID_mutuelle]],mutuelle[],2,FALSE)</f>
        <v>UNION MUTUALISTE RETRAITE</v>
      </c>
    </row>
    <row r="188" spans="1:17" x14ac:dyDescent="0.3">
      <c r="A188" s="8">
        <v>519</v>
      </c>
      <c r="B188" s="9" t="s">
        <v>1706</v>
      </c>
      <c r="C188" s="9" t="s">
        <v>1707</v>
      </c>
      <c r="D188" s="9" t="s">
        <v>1708</v>
      </c>
      <c r="E188" s="8">
        <v>92504</v>
      </c>
      <c r="F188" s="9" t="s">
        <v>194</v>
      </c>
      <c r="G188" s="9" t="s">
        <v>1709</v>
      </c>
      <c r="H188" s="8">
        <v>617358486</v>
      </c>
      <c r="I188" s="8">
        <v>71</v>
      </c>
      <c r="J188" s="8">
        <v>21</v>
      </c>
      <c r="K188" s="8">
        <v>218</v>
      </c>
      <c r="L188" s="9" t="s">
        <v>982</v>
      </c>
      <c r="M188" s="9" t="s">
        <v>988</v>
      </c>
      <c r="N188" s="8">
        <v>0</v>
      </c>
      <c r="O188" s="8">
        <v>47</v>
      </c>
      <c r="P188" s="8">
        <v>1</v>
      </c>
      <c r="Q188" s="8" t="str">
        <f>VLOOKUP(patient[[#This Row],[ID_mutuelle]],mutuelle[],2,FALSE)</f>
        <v>LOU CLAPAS - L'AVEYRONNAISE</v>
      </c>
    </row>
    <row r="189" spans="1:17" x14ac:dyDescent="0.3">
      <c r="A189" s="8">
        <v>520</v>
      </c>
      <c r="B189" s="9" t="s">
        <v>1710</v>
      </c>
      <c r="C189" s="9" t="s">
        <v>1711</v>
      </c>
      <c r="D189" s="9" t="s">
        <v>1712</v>
      </c>
      <c r="E189" s="8">
        <v>92881</v>
      </c>
      <c r="F189" s="9" t="s">
        <v>114</v>
      </c>
      <c r="G189" s="9" t="s">
        <v>1713</v>
      </c>
      <c r="H189" s="8">
        <v>688682956</v>
      </c>
      <c r="I189" s="8">
        <v>99</v>
      </c>
      <c r="J189" s="8">
        <v>41</v>
      </c>
      <c r="K189" s="8">
        <v>171</v>
      </c>
      <c r="L189" s="9" t="s">
        <v>987</v>
      </c>
      <c r="M189" s="9" t="s">
        <v>993</v>
      </c>
      <c r="N189" s="8">
        <v>1</v>
      </c>
      <c r="O189" s="8">
        <v>195</v>
      </c>
      <c r="P189" s="8">
        <v>2</v>
      </c>
      <c r="Q189" s="8" t="str">
        <f>VLOOKUP(patient[[#This Row],[ID_mutuelle]],mutuelle[],2,FALSE)</f>
        <v>MUTUELLE KEOLIS RENNES</v>
      </c>
    </row>
    <row r="190" spans="1:17" x14ac:dyDescent="0.3">
      <c r="A190" s="8">
        <v>521</v>
      </c>
      <c r="B190" s="9" t="s">
        <v>1714</v>
      </c>
      <c r="C190" s="9" t="s">
        <v>238</v>
      </c>
      <c r="D190" s="9" t="s">
        <v>1715</v>
      </c>
      <c r="E190" s="8">
        <v>93155</v>
      </c>
      <c r="F190" s="9" t="s">
        <v>582</v>
      </c>
      <c r="G190" s="9" t="s">
        <v>1716</v>
      </c>
      <c r="H190" s="8">
        <v>653503323</v>
      </c>
      <c r="I190" s="8">
        <v>35</v>
      </c>
      <c r="J190" s="8">
        <v>122</v>
      </c>
      <c r="K190" s="8">
        <v>164</v>
      </c>
      <c r="L190" s="9" t="s">
        <v>987</v>
      </c>
      <c r="M190" s="9" t="s">
        <v>998</v>
      </c>
      <c r="N190" s="8">
        <v>0</v>
      </c>
      <c r="O190" s="8">
        <v>129</v>
      </c>
      <c r="P190" s="8">
        <v>3</v>
      </c>
      <c r="Q190" s="8" t="str">
        <f>VLOOKUP(patient[[#This Row],[ID_mutuelle]],mutuelle[],2,FALSE)</f>
        <v>MUTUELLE DES HOSPITALIERS</v>
      </c>
    </row>
    <row r="191" spans="1:17" x14ac:dyDescent="0.3">
      <c r="A191" s="8">
        <v>522</v>
      </c>
      <c r="B191" s="9" t="s">
        <v>1717</v>
      </c>
      <c r="C191" s="9" t="s">
        <v>1718</v>
      </c>
      <c r="D191" s="9" t="s">
        <v>1719</v>
      </c>
      <c r="E191" s="8">
        <v>91544</v>
      </c>
      <c r="F191" s="9" t="s">
        <v>477</v>
      </c>
      <c r="G191" s="9" t="s">
        <v>1720</v>
      </c>
      <c r="H191" s="8">
        <v>666347144</v>
      </c>
      <c r="I191" s="8">
        <v>46</v>
      </c>
      <c r="J191" s="8">
        <v>53</v>
      </c>
      <c r="K191" s="8">
        <v>141</v>
      </c>
      <c r="L191" s="9" t="s">
        <v>982</v>
      </c>
      <c r="M191" s="9" t="s">
        <v>988</v>
      </c>
      <c r="N191" s="8">
        <v>0</v>
      </c>
      <c r="O191" s="8">
        <v>87</v>
      </c>
      <c r="P191" s="8">
        <v>2</v>
      </c>
      <c r="Q191" s="8" t="str">
        <f>VLOOKUP(patient[[#This Row],[ID_mutuelle]],mutuelle[],2,FALSE)</f>
        <v>MUTUELLE D'ENTREPRISE DU PERSONNEL DE LA SOCIETE DES EAUX DE MARSEILLE</v>
      </c>
    </row>
    <row r="192" spans="1:17" x14ac:dyDescent="0.3">
      <c r="A192" s="8">
        <v>523</v>
      </c>
      <c r="B192" s="9" t="s">
        <v>1721</v>
      </c>
      <c r="C192" s="9" t="s">
        <v>1722</v>
      </c>
      <c r="D192" s="9" t="s">
        <v>1723</v>
      </c>
      <c r="E192" s="8">
        <v>92226</v>
      </c>
      <c r="F192" s="9" t="s">
        <v>39</v>
      </c>
      <c r="G192" s="9" t="s">
        <v>1724</v>
      </c>
      <c r="H192" s="8">
        <v>690424763</v>
      </c>
      <c r="I192" s="8">
        <v>79</v>
      </c>
      <c r="J192" s="8">
        <v>27</v>
      </c>
      <c r="K192" s="8">
        <v>181</v>
      </c>
      <c r="L192" s="9" t="s">
        <v>982</v>
      </c>
      <c r="M192" s="9" t="s">
        <v>983</v>
      </c>
      <c r="N192" s="8">
        <v>0</v>
      </c>
      <c r="O192" s="8">
        <v>108</v>
      </c>
      <c r="P192" s="8">
        <v>1</v>
      </c>
      <c r="Q192" s="8" t="str">
        <f>VLOOKUP(patient[[#This Row],[ID_mutuelle]],mutuelle[],2,FALSE)</f>
        <v>MUTUELLE DE LA PAPETERIE D'ARCHES</v>
      </c>
    </row>
    <row r="193" spans="1:17" x14ac:dyDescent="0.3">
      <c r="A193" s="8">
        <v>524</v>
      </c>
      <c r="B193" s="9" t="s">
        <v>1725</v>
      </c>
      <c r="C193" s="9" t="s">
        <v>508</v>
      </c>
      <c r="D193" s="9" t="s">
        <v>1726</v>
      </c>
      <c r="E193" s="8">
        <v>95688</v>
      </c>
      <c r="F193" s="9" t="s">
        <v>39</v>
      </c>
      <c r="G193" s="9" t="s">
        <v>1727</v>
      </c>
      <c r="H193" s="8">
        <v>654783477</v>
      </c>
      <c r="I193" s="8">
        <v>20</v>
      </c>
      <c r="J193" s="8">
        <v>19</v>
      </c>
      <c r="K193" s="8">
        <v>139</v>
      </c>
      <c r="L193" s="9" t="s">
        <v>987</v>
      </c>
      <c r="M193" s="9" t="s">
        <v>993</v>
      </c>
      <c r="N193" s="8">
        <v>1</v>
      </c>
      <c r="O193" s="8">
        <v>49</v>
      </c>
      <c r="P193" s="8">
        <v>1</v>
      </c>
      <c r="Q193" s="8" t="str">
        <f>VLOOKUP(patient[[#This Row],[ID_mutuelle]],mutuelle[],2,FALSE)</f>
        <v>MALAKOFF HUMANIS NATIONALE</v>
      </c>
    </row>
    <row r="194" spans="1:17" x14ac:dyDescent="0.3">
      <c r="A194" s="8">
        <v>525</v>
      </c>
      <c r="B194" s="9" t="s">
        <v>1058</v>
      </c>
      <c r="C194" s="9" t="s">
        <v>1728</v>
      </c>
      <c r="D194" s="9" t="s">
        <v>1729</v>
      </c>
      <c r="E194" s="8">
        <v>94934</v>
      </c>
      <c r="F194" s="9" t="s">
        <v>77</v>
      </c>
      <c r="G194" s="9" t="s">
        <v>1730</v>
      </c>
      <c r="H194" s="8">
        <v>643781057</v>
      </c>
      <c r="I194" s="8">
        <v>31</v>
      </c>
      <c r="J194" s="8">
        <v>24</v>
      </c>
      <c r="K194" s="8">
        <v>214</v>
      </c>
      <c r="L194" s="9" t="s">
        <v>982</v>
      </c>
      <c r="M194" s="9" t="s">
        <v>1077</v>
      </c>
      <c r="N194" s="8">
        <v>1</v>
      </c>
      <c r="O194" s="8">
        <v>167</v>
      </c>
      <c r="P194" s="8">
        <v>2</v>
      </c>
      <c r="Q194" s="8" t="str">
        <f>VLOOKUP(patient[[#This Row],[ID_mutuelle]],mutuelle[],2,FALSE)</f>
        <v>MUTUELLE ENTRAIN</v>
      </c>
    </row>
    <row r="195" spans="1:17" x14ac:dyDescent="0.3">
      <c r="A195" s="8">
        <v>526</v>
      </c>
      <c r="B195" s="9" t="s">
        <v>1289</v>
      </c>
      <c r="C195" s="9" t="s">
        <v>1731</v>
      </c>
      <c r="D195" s="9" t="s">
        <v>1732</v>
      </c>
      <c r="E195" s="8">
        <v>91655</v>
      </c>
      <c r="F195" s="9" t="s">
        <v>288</v>
      </c>
      <c r="G195" s="9" t="s">
        <v>1733</v>
      </c>
      <c r="H195" s="8">
        <v>699609859</v>
      </c>
      <c r="I195" s="8">
        <v>97</v>
      </c>
      <c r="J195" s="8">
        <v>48</v>
      </c>
      <c r="K195" s="8">
        <v>180</v>
      </c>
      <c r="L195" s="9" t="s">
        <v>982</v>
      </c>
      <c r="M195" s="9" t="s">
        <v>1015</v>
      </c>
      <c r="N195" s="8">
        <v>0</v>
      </c>
      <c r="O195" s="8">
        <v>254</v>
      </c>
      <c r="P195" s="8">
        <v>2</v>
      </c>
      <c r="Q195" s="8" t="str">
        <f>VLOOKUP(patient[[#This Row],[ID_mutuelle]],mutuelle[],2,FALSE)</f>
        <v>SOCIETE MUTUALISTE INTER-ENTREPRISES</v>
      </c>
    </row>
    <row r="196" spans="1:17" x14ac:dyDescent="0.3">
      <c r="A196" s="8">
        <v>527</v>
      </c>
      <c r="B196" s="9" t="s">
        <v>1734</v>
      </c>
      <c r="C196" s="9" t="s">
        <v>1735</v>
      </c>
      <c r="D196" s="9" t="s">
        <v>1736</v>
      </c>
      <c r="E196" s="8">
        <v>93691</v>
      </c>
      <c r="F196" s="9" t="s">
        <v>257</v>
      </c>
      <c r="G196" s="9" t="s">
        <v>1737</v>
      </c>
      <c r="H196" s="8">
        <v>670940705</v>
      </c>
      <c r="I196" s="8">
        <v>34</v>
      </c>
      <c r="J196" s="8">
        <v>82</v>
      </c>
      <c r="K196" s="8">
        <v>116</v>
      </c>
      <c r="L196" s="9" t="s">
        <v>982</v>
      </c>
      <c r="M196" s="9" t="s">
        <v>988</v>
      </c>
      <c r="N196" s="8">
        <v>1</v>
      </c>
      <c r="O196" s="8">
        <v>186</v>
      </c>
      <c r="P196" s="8">
        <v>1</v>
      </c>
      <c r="Q196" s="8" t="str">
        <f>VLOOKUP(patient[[#This Row],[ID_mutuelle]],mutuelle[],2,FALSE)</f>
        <v>MUTUELLE GEODIS</v>
      </c>
    </row>
    <row r="197" spans="1:17" x14ac:dyDescent="0.3">
      <c r="A197" s="8">
        <v>528</v>
      </c>
      <c r="B197" s="9" t="s">
        <v>1738</v>
      </c>
      <c r="C197" s="9" t="s">
        <v>1739</v>
      </c>
      <c r="D197" s="9" t="s">
        <v>1740</v>
      </c>
      <c r="E197" s="8">
        <v>91163</v>
      </c>
      <c r="F197" s="9" t="s">
        <v>269</v>
      </c>
      <c r="G197" s="9" t="s">
        <v>1741</v>
      </c>
      <c r="H197" s="8">
        <v>693360348</v>
      </c>
      <c r="I197" s="8">
        <v>92</v>
      </c>
      <c r="J197" s="8">
        <v>70</v>
      </c>
      <c r="K197" s="8">
        <v>158</v>
      </c>
      <c r="L197" s="9" t="s">
        <v>987</v>
      </c>
      <c r="M197" s="9" t="s">
        <v>1032</v>
      </c>
      <c r="N197" s="8">
        <v>0</v>
      </c>
      <c r="O197" s="8">
        <v>80</v>
      </c>
      <c r="P197" s="8">
        <v>3</v>
      </c>
      <c r="Q197" s="8" t="str">
        <f>VLOOKUP(patient[[#This Row],[ID_mutuelle]],mutuelle[],2,FALSE)</f>
        <v>MUTUELLE CHORUM</v>
      </c>
    </row>
    <row r="198" spans="1:17" x14ac:dyDescent="0.3">
      <c r="A198" s="8">
        <v>529</v>
      </c>
      <c r="B198" s="9" t="s">
        <v>1742</v>
      </c>
      <c r="C198" s="9" t="s">
        <v>1743</v>
      </c>
      <c r="D198" s="9" t="s">
        <v>1744</v>
      </c>
      <c r="E198" s="8">
        <v>78916</v>
      </c>
      <c r="F198" s="9" t="s">
        <v>109</v>
      </c>
      <c r="G198" s="9" t="s">
        <v>1745</v>
      </c>
      <c r="H198" s="8">
        <v>666676543</v>
      </c>
      <c r="I198" s="8">
        <v>105</v>
      </c>
      <c r="J198" s="8">
        <v>37</v>
      </c>
      <c r="K198" s="8">
        <v>145</v>
      </c>
      <c r="L198" s="9" t="s">
        <v>987</v>
      </c>
      <c r="M198" s="9" t="s">
        <v>993</v>
      </c>
      <c r="N198" s="8">
        <v>1</v>
      </c>
      <c r="O198" s="8">
        <v>11</v>
      </c>
      <c r="P198" s="8">
        <v>1</v>
      </c>
      <c r="Q198" s="8" t="str">
        <f>VLOOKUP(patient[[#This Row],[ID_mutuelle]],mutuelle[],2,FALSE)</f>
        <v>AVENIR SANTE MUTUELLE</v>
      </c>
    </row>
    <row r="199" spans="1:17" x14ac:dyDescent="0.3">
      <c r="A199" s="8">
        <v>530</v>
      </c>
      <c r="B199" s="9" t="s">
        <v>1746</v>
      </c>
      <c r="C199" s="9" t="s">
        <v>1747</v>
      </c>
      <c r="D199" s="9" t="s">
        <v>1748</v>
      </c>
      <c r="E199" s="8">
        <v>75364</v>
      </c>
      <c r="F199" s="9" t="s">
        <v>269</v>
      </c>
      <c r="G199" s="9" t="s">
        <v>1749</v>
      </c>
      <c r="H199" s="8">
        <v>684778918</v>
      </c>
      <c r="I199" s="8">
        <v>107</v>
      </c>
      <c r="J199" s="8">
        <v>144</v>
      </c>
      <c r="K199" s="8">
        <v>153</v>
      </c>
      <c r="L199" s="9" t="s">
        <v>982</v>
      </c>
      <c r="M199" s="9" t="s">
        <v>993</v>
      </c>
      <c r="N199" s="8">
        <v>0</v>
      </c>
      <c r="O199" s="8">
        <v>51</v>
      </c>
      <c r="P199" s="8">
        <v>1</v>
      </c>
      <c r="Q199" s="8" t="str">
        <f>VLOOKUP(patient[[#This Row],[ID_mutuelle]],mutuelle[],2,FALSE)</f>
        <v>MCEN - MUTUELLE DES CLERCS ET EMPLOYES DE NOTAIRE</v>
      </c>
    </row>
    <row r="200" spans="1:17" x14ac:dyDescent="0.3">
      <c r="A200" s="8">
        <v>531</v>
      </c>
      <c r="B200" s="9" t="s">
        <v>1750</v>
      </c>
      <c r="C200" s="9" t="s">
        <v>1751</v>
      </c>
      <c r="D200" s="9" t="s">
        <v>1752</v>
      </c>
      <c r="E200" s="8">
        <v>75295</v>
      </c>
      <c r="F200" s="9" t="s">
        <v>257</v>
      </c>
      <c r="G200" s="9" t="s">
        <v>1753</v>
      </c>
      <c r="H200" s="8">
        <v>680496529</v>
      </c>
      <c r="I200" s="8">
        <v>87</v>
      </c>
      <c r="J200" s="8">
        <v>52</v>
      </c>
      <c r="K200" s="8">
        <v>132</v>
      </c>
      <c r="L200" s="9" t="s">
        <v>982</v>
      </c>
      <c r="M200" s="9" t="s">
        <v>1015</v>
      </c>
      <c r="N200" s="8">
        <v>1</v>
      </c>
      <c r="O200" s="8">
        <v>189</v>
      </c>
      <c r="P200" s="8">
        <v>1</v>
      </c>
      <c r="Q200" s="8" t="str">
        <f>VLOOKUP(patient[[#This Row],[ID_mutuelle]],mutuelle[],2,FALSE)</f>
        <v>MUTUELLE INTERENTREPRISES DES CAVES DE ROQUEFORT</v>
      </c>
    </row>
    <row r="201" spans="1:17" x14ac:dyDescent="0.3">
      <c r="A201" s="8">
        <v>532</v>
      </c>
      <c r="B201" s="9" t="s">
        <v>1754</v>
      </c>
      <c r="C201" s="9" t="s">
        <v>1755</v>
      </c>
      <c r="D201" s="9" t="s">
        <v>1756</v>
      </c>
      <c r="E201" s="8">
        <v>94721</v>
      </c>
      <c r="F201" s="9" t="s">
        <v>77</v>
      </c>
      <c r="G201" s="9" t="s">
        <v>1757</v>
      </c>
      <c r="H201" s="8">
        <v>678686135</v>
      </c>
      <c r="I201" s="8">
        <v>59</v>
      </c>
      <c r="J201" s="8">
        <v>89</v>
      </c>
      <c r="K201" s="8">
        <v>159</v>
      </c>
      <c r="L201" s="9" t="s">
        <v>982</v>
      </c>
      <c r="M201" s="9" t="s">
        <v>1015</v>
      </c>
      <c r="N201" s="8">
        <v>1</v>
      </c>
      <c r="O201" s="8">
        <v>67</v>
      </c>
      <c r="P201" s="8">
        <v>1</v>
      </c>
      <c r="Q201" s="8" t="str">
        <f>VLOOKUP(patient[[#This Row],[ID_mutuelle]],mutuelle[],2,FALSE)</f>
        <v>MUTEST</v>
      </c>
    </row>
    <row r="202" spans="1:17" x14ac:dyDescent="0.3">
      <c r="A202" s="8">
        <v>533</v>
      </c>
      <c r="B202" s="9" t="s">
        <v>1758</v>
      </c>
      <c r="C202" s="9" t="s">
        <v>1759</v>
      </c>
      <c r="D202" s="9" t="s">
        <v>1760</v>
      </c>
      <c r="E202" s="8">
        <v>95301</v>
      </c>
      <c r="F202" s="9" t="s">
        <v>208</v>
      </c>
      <c r="G202" s="9" t="s">
        <v>1761</v>
      </c>
      <c r="H202" s="8">
        <v>695980517</v>
      </c>
      <c r="I202" s="8">
        <v>60</v>
      </c>
      <c r="J202" s="8">
        <v>135</v>
      </c>
      <c r="K202" s="8">
        <v>134</v>
      </c>
      <c r="L202" s="9" t="s">
        <v>982</v>
      </c>
      <c r="M202" s="9" t="s">
        <v>993</v>
      </c>
      <c r="N202" s="8">
        <v>0</v>
      </c>
      <c r="O202" s="8">
        <v>183</v>
      </c>
      <c r="P202" s="8">
        <v>1</v>
      </c>
      <c r="Q202" s="8" t="str">
        <f>VLOOKUP(patient[[#This Row],[ID_mutuelle]],mutuelle[],2,FALSE)</f>
        <v>MUTUELLE GENERALE DES ETUDIANTS DE L'EST</v>
      </c>
    </row>
    <row r="203" spans="1:17" x14ac:dyDescent="0.3">
      <c r="A203" s="8">
        <v>534</v>
      </c>
      <c r="B203" s="9" t="s">
        <v>1762</v>
      </c>
      <c r="C203" s="9" t="s">
        <v>1763</v>
      </c>
      <c r="D203" s="9" t="s">
        <v>1764</v>
      </c>
      <c r="E203" s="8">
        <v>91534</v>
      </c>
      <c r="F203" s="9" t="s">
        <v>114</v>
      </c>
      <c r="G203" s="9" t="s">
        <v>1765</v>
      </c>
      <c r="H203" s="8">
        <v>681563744</v>
      </c>
      <c r="I203" s="8">
        <v>107</v>
      </c>
      <c r="J203" s="8">
        <v>127</v>
      </c>
      <c r="K203" s="8">
        <v>108</v>
      </c>
      <c r="L203" s="9" t="s">
        <v>982</v>
      </c>
      <c r="M203" s="9" t="s">
        <v>1032</v>
      </c>
      <c r="N203" s="8">
        <v>0</v>
      </c>
      <c r="O203" s="8">
        <v>251</v>
      </c>
      <c r="P203" s="8">
        <v>2</v>
      </c>
      <c r="Q203" s="8" t="str">
        <f>VLOOKUP(patient[[#This Row],[ID_mutuelle]],mutuelle[],2,FALSE)</f>
        <v>SOCIETE MUTUALISTE DU PERSONNEL ACTIF ET RETRAITE DE LA MARQUE</v>
      </c>
    </row>
    <row r="204" spans="1:17" x14ac:dyDescent="0.3">
      <c r="A204" s="8">
        <v>535</v>
      </c>
      <c r="B204" s="9" t="s">
        <v>1766</v>
      </c>
      <c r="C204" s="9" t="s">
        <v>1767</v>
      </c>
      <c r="D204" s="9" t="s">
        <v>1768</v>
      </c>
      <c r="E204" s="8">
        <v>92310</v>
      </c>
      <c r="F204" s="9" t="s">
        <v>109</v>
      </c>
      <c r="G204" s="9" t="s">
        <v>1769</v>
      </c>
      <c r="H204" s="8">
        <v>638839145</v>
      </c>
      <c r="I204" s="8">
        <v>63</v>
      </c>
      <c r="J204" s="8">
        <v>76</v>
      </c>
      <c r="K204" s="8">
        <v>209</v>
      </c>
      <c r="L204" s="9" t="s">
        <v>987</v>
      </c>
      <c r="M204" s="9" t="s">
        <v>988</v>
      </c>
      <c r="N204" s="8">
        <v>1</v>
      </c>
      <c r="O204" s="8">
        <v>171</v>
      </c>
      <c r="P204" s="8">
        <v>2</v>
      </c>
      <c r="Q204" s="8" t="str">
        <f>VLOOKUP(patient[[#This Row],[ID_mutuelle]],mutuelle[],2,FALSE)</f>
        <v>MUTUELLE FACOM</v>
      </c>
    </row>
    <row r="205" spans="1:17" x14ac:dyDescent="0.3">
      <c r="A205" s="8">
        <v>536</v>
      </c>
      <c r="B205" s="9" t="s">
        <v>1770</v>
      </c>
      <c r="C205" s="9" t="s">
        <v>1771</v>
      </c>
      <c r="D205" s="9" t="s">
        <v>1772</v>
      </c>
      <c r="E205" s="8">
        <v>95134</v>
      </c>
      <c r="F205" s="9" t="s">
        <v>32</v>
      </c>
      <c r="G205" s="9" t="s">
        <v>1773</v>
      </c>
      <c r="H205" s="8">
        <v>695180872</v>
      </c>
      <c r="I205" s="8">
        <v>39</v>
      </c>
      <c r="J205" s="8">
        <v>95</v>
      </c>
      <c r="K205" s="8">
        <v>85</v>
      </c>
      <c r="L205" s="9" t="s">
        <v>987</v>
      </c>
      <c r="M205" s="9" t="s">
        <v>1045</v>
      </c>
      <c r="N205" s="8">
        <v>0</v>
      </c>
      <c r="O205" s="8">
        <v>160</v>
      </c>
      <c r="P205" s="8">
        <v>3</v>
      </c>
      <c r="Q205" s="8" t="str">
        <f>VLOOKUP(patient[[#This Row],[ID_mutuelle]],mutuelle[],2,FALSE)</f>
        <v>MUTUELLE DU PERSONNEL DU CHU</v>
      </c>
    </row>
    <row r="206" spans="1:17" x14ac:dyDescent="0.3">
      <c r="A206" s="8">
        <v>537</v>
      </c>
      <c r="B206" s="9" t="s">
        <v>1774</v>
      </c>
      <c r="C206" s="9" t="s">
        <v>1775</v>
      </c>
      <c r="D206" s="9" t="s">
        <v>1776</v>
      </c>
      <c r="E206" s="8">
        <v>93329</v>
      </c>
      <c r="F206" s="9" t="s">
        <v>582</v>
      </c>
      <c r="G206" s="9" t="s">
        <v>1777</v>
      </c>
      <c r="H206" s="8">
        <v>669559354</v>
      </c>
      <c r="I206" s="8">
        <v>8</v>
      </c>
      <c r="J206" s="8">
        <v>54</v>
      </c>
      <c r="K206" s="8">
        <v>195</v>
      </c>
      <c r="L206" s="9" t="s">
        <v>982</v>
      </c>
      <c r="M206" s="9" t="s">
        <v>993</v>
      </c>
      <c r="N206" s="8">
        <v>0</v>
      </c>
      <c r="O206" s="8">
        <v>109</v>
      </c>
      <c r="P206" s="8">
        <v>1</v>
      </c>
      <c r="Q206" s="8" t="str">
        <f>VLOOKUP(patient[[#This Row],[ID_mutuelle]],mutuelle[],2,FALSE)</f>
        <v>MUTUELLE DE LA REGIE DES TRANSPORTS EN COMMUN DE L'AGGLOMERATION TROYENNE</v>
      </c>
    </row>
    <row r="207" spans="1:17" x14ac:dyDescent="0.3">
      <c r="A207" s="8">
        <v>538</v>
      </c>
      <c r="B207" s="9" t="s">
        <v>1778</v>
      </c>
      <c r="C207" s="9" t="s">
        <v>1779</v>
      </c>
      <c r="D207" s="9" t="s">
        <v>1780</v>
      </c>
      <c r="E207" s="8">
        <v>95659</v>
      </c>
      <c r="F207" s="9" t="s">
        <v>168</v>
      </c>
      <c r="G207" s="9" t="s">
        <v>1781</v>
      </c>
      <c r="H207" s="8">
        <v>627771469</v>
      </c>
      <c r="I207" s="8">
        <v>104</v>
      </c>
      <c r="J207" s="8">
        <v>129</v>
      </c>
      <c r="K207" s="8">
        <v>134</v>
      </c>
      <c r="L207" s="9" t="s">
        <v>987</v>
      </c>
      <c r="M207" s="9" t="s">
        <v>988</v>
      </c>
      <c r="N207" s="8">
        <v>0</v>
      </c>
      <c r="O207" s="8">
        <v>227</v>
      </c>
      <c r="P207" s="8">
        <v>1</v>
      </c>
      <c r="Q207" s="8" t="str">
        <f>VLOOKUP(patient[[#This Row],[ID_mutuelle]],mutuelle[],2,FALSE)</f>
        <v>MUTUELLE SMH</v>
      </c>
    </row>
    <row r="208" spans="1:17" x14ac:dyDescent="0.3">
      <c r="A208" s="8">
        <v>539</v>
      </c>
      <c r="B208" s="9" t="s">
        <v>1782</v>
      </c>
      <c r="C208" s="9" t="s">
        <v>1783</v>
      </c>
      <c r="D208" s="9" t="s">
        <v>1784</v>
      </c>
      <c r="E208" s="8">
        <v>75254</v>
      </c>
      <c r="F208" s="9" t="s">
        <v>124</v>
      </c>
      <c r="G208" s="9" t="s">
        <v>1785</v>
      </c>
      <c r="H208" s="8">
        <v>633848773</v>
      </c>
      <c r="I208" s="8">
        <v>33</v>
      </c>
      <c r="J208" s="8">
        <v>116</v>
      </c>
      <c r="K208" s="8">
        <v>192</v>
      </c>
      <c r="L208" s="9" t="s">
        <v>982</v>
      </c>
      <c r="M208" s="9" t="s">
        <v>993</v>
      </c>
      <c r="N208" s="8">
        <v>1</v>
      </c>
      <c r="O208" s="8">
        <v>30</v>
      </c>
      <c r="P208" s="8">
        <v>2</v>
      </c>
      <c r="Q208" s="8" t="str">
        <f>VLOOKUP(patient[[#This Row],[ID_mutuelle]],mutuelle[],2,FALSE)</f>
        <v>KLESIA MUT'</v>
      </c>
    </row>
    <row r="209" spans="1:17" x14ac:dyDescent="0.3">
      <c r="A209" s="8">
        <v>540</v>
      </c>
      <c r="B209" s="9" t="s">
        <v>1786</v>
      </c>
      <c r="C209" s="9" t="s">
        <v>1787</v>
      </c>
      <c r="D209" s="9" t="s">
        <v>1788</v>
      </c>
      <c r="E209" s="8">
        <v>78630</v>
      </c>
      <c r="F209" s="9" t="s">
        <v>274</v>
      </c>
      <c r="G209" s="9" t="s">
        <v>1789</v>
      </c>
      <c r="H209" s="8">
        <v>688177856</v>
      </c>
      <c r="I209" s="8">
        <v>81</v>
      </c>
      <c r="J209" s="8">
        <v>42</v>
      </c>
      <c r="K209" s="8">
        <v>208</v>
      </c>
      <c r="L209" s="9" t="s">
        <v>987</v>
      </c>
      <c r="M209" s="9" t="s">
        <v>1045</v>
      </c>
      <c r="N209" s="8">
        <v>0</v>
      </c>
      <c r="O209" s="8">
        <v>144</v>
      </c>
      <c r="P209" s="8">
        <v>1</v>
      </c>
      <c r="Q209" s="8" t="str">
        <f>VLOOKUP(patient[[#This Row],[ID_mutuelle]],mutuelle[],2,FALSE)</f>
        <v>MUTUELLE DES TRANSPORTS</v>
      </c>
    </row>
    <row r="210" spans="1:17" x14ac:dyDescent="0.3">
      <c r="A210" s="8">
        <v>541</v>
      </c>
      <c r="B210" s="9" t="s">
        <v>1790</v>
      </c>
      <c r="C210" s="9" t="s">
        <v>1791</v>
      </c>
      <c r="D210" s="9" t="s">
        <v>1792</v>
      </c>
      <c r="E210" s="8">
        <v>94965</v>
      </c>
      <c r="F210" s="9" t="s">
        <v>269</v>
      </c>
      <c r="G210" s="9" t="s">
        <v>1793</v>
      </c>
      <c r="H210" s="8">
        <v>684621162</v>
      </c>
      <c r="I210" s="8">
        <v>78</v>
      </c>
      <c r="J210" s="8">
        <v>16</v>
      </c>
      <c r="K210" s="8">
        <v>122</v>
      </c>
      <c r="L210" s="9" t="s">
        <v>987</v>
      </c>
      <c r="M210" s="9" t="s">
        <v>998</v>
      </c>
      <c r="N210" s="8">
        <v>1</v>
      </c>
      <c r="O210" s="8">
        <v>150</v>
      </c>
      <c r="P210" s="8">
        <v>1</v>
      </c>
      <c r="Q210" s="8" t="str">
        <f>VLOOKUP(patient[[#This Row],[ID_mutuelle]],mutuelle[],2,FALSE)</f>
        <v>MUTUELLE DU GRAND PORT MARITIME DU HAVRE</v>
      </c>
    </row>
    <row r="211" spans="1:17" x14ac:dyDescent="0.3">
      <c r="A211" s="8">
        <v>542</v>
      </c>
      <c r="B211" s="9" t="s">
        <v>1794</v>
      </c>
      <c r="C211" s="9" t="s">
        <v>1795</v>
      </c>
      <c r="D211" s="9" t="s">
        <v>1796</v>
      </c>
      <c r="E211" s="8">
        <v>91705</v>
      </c>
      <c r="F211" s="9" t="s">
        <v>77</v>
      </c>
      <c r="G211" s="9" t="s">
        <v>1797</v>
      </c>
      <c r="H211" s="8">
        <v>648217633</v>
      </c>
      <c r="I211" s="8">
        <v>30</v>
      </c>
      <c r="J211" s="8">
        <v>61</v>
      </c>
      <c r="K211" s="8">
        <v>157</v>
      </c>
      <c r="L211" s="9" t="s">
        <v>987</v>
      </c>
      <c r="M211" s="9" t="s">
        <v>1015</v>
      </c>
      <c r="N211" s="8">
        <v>1</v>
      </c>
      <c r="O211" s="8">
        <v>216</v>
      </c>
      <c r="P211" s="8">
        <v>2</v>
      </c>
      <c r="Q211" s="8" t="str">
        <f>VLOOKUP(patient[[#This Row],[ID_mutuelle]],mutuelle[],2,FALSE)</f>
        <v>MUTUELLE NATIONALE TERRITORIALE</v>
      </c>
    </row>
    <row r="212" spans="1:17" x14ac:dyDescent="0.3">
      <c r="A212" s="8">
        <v>543</v>
      </c>
      <c r="B212" s="9" t="s">
        <v>1798</v>
      </c>
      <c r="C212" s="9" t="s">
        <v>1799</v>
      </c>
      <c r="D212" s="9" t="s">
        <v>1800</v>
      </c>
      <c r="E212" s="8">
        <v>75377</v>
      </c>
      <c r="F212" s="9" t="s">
        <v>340</v>
      </c>
      <c r="G212" s="9" t="s">
        <v>1801</v>
      </c>
      <c r="H212" s="8">
        <v>657065245</v>
      </c>
      <c r="I212" s="8">
        <v>2</v>
      </c>
      <c r="J212" s="8">
        <v>14</v>
      </c>
      <c r="K212" s="8">
        <v>122</v>
      </c>
      <c r="L212" s="9" t="s">
        <v>982</v>
      </c>
      <c r="M212" s="9" t="s">
        <v>993</v>
      </c>
      <c r="N212" s="8">
        <v>0</v>
      </c>
      <c r="O212" s="8">
        <v>157</v>
      </c>
      <c r="P212" s="8">
        <v>3</v>
      </c>
      <c r="Q212" s="8" t="str">
        <f>VLOOKUP(patient[[#This Row],[ID_mutuelle]],mutuelle[],2,FALSE)</f>
        <v>MUTUELLE DU PERSONNEL DES COLLECTIVITES TERRITORIALE DE LA REUNION</v>
      </c>
    </row>
    <row r="213" spans="1:17" x14ac:dyDescent="0.3">
      <c r="A213" s="8">
        <v>544</v>
      </c>
      <c r="B213" s="9" t="s">
        <v>1802</v>
      </c>
      <c r="C213" s="9" t="s">
        <v>1803</v>
      </c>
      <c r="D213" s="9" t="s">
        <v>1804</v>
      </c>
      <c r="E213" s="8">
        <v>93826</v>
      </c>
      <c r="F213" s="9" t="s">
        <v>83</v>
      </c>
      <c r="G213" s="9" t="s">
        <v>1805</v>
      </c>
      <c r="H213" s="8">
        <v>656052199</v>
      </c>
      <c r="I213" s="8">
        <v>6</v>
      </c>
      <c r="J213" s="8">
        <v>137</v>
      </c>
      <c r="K213" s="8">
        <v>229</v>
      </c>
      <c r="L213" s="9" t="s">
        <v>987</v>
      </c>
      <c r="M213" s="9" t="s">
        <v>993</v>
      </c>
      <c r="N213" s="8">
        <v>1</v>
      </c>
      <c r="O213" s="8">
        <v>98</v>
      </c>
      <c r="P213" s="8">
        <v>3</v>
      </c>
      <c r="Q213" s="8" t="str">
        <f>VLOOKUP(patient[[#This Row],[ID_mutuelle]],mutuelle[],2,FALSE)</f>
        <v>MUTUELLE DE FRANCE LOIRE FOREZ</v>
      </c>
    </row>
    <row r="214" spans="1:17" x14ac:dyDescent="0.3">
      <c r="A214" s="8">
        <v>545</v>
      </c>
      <c r="B214" s="9" t="s">
        <v>1806</v>
      </c>
      <c r="C214" s="9" t="s">
        <v>1807</v>
      </c>
      <c r="D214" s="9" t="s">
        <v>1808</v>
      </c>
      <c r="E214" s="8">
        <v>78391</v>
      </c>
      <c r="F214" s="9" t="s">
        <v>129</v>
      </c>
      <c r="G214" s="9" t="s">
        <v>1809</v>
      </c>
      <c r="H214" s="8">
        <v>668496023</v>
      </c>
      <c r="I214" s="8">
        <v>97</v>
      </c>
      <c r="J214" s="8">
        <v>100</v>
      </c>
      <c r="K214" s="8">
        <v>190</v>
      </c>
      <c r="L214" s="9" t="s">
        <v>982</v>
      </c>
      <c r="M214" s="9" t="s">
        <v>983</v>
      </c>
      <c r="N214" s="8">
        <v>1</v>
      </c>
      <c r="O214" s="8">
        <v>164</v>
      </c>
      <c r="P214" s="8">
        <v>3</v>
      </c>
      <c r="Q214" s="8" t="str">
        <f>VLOOKUP(patient[[#This Row],[ID_mutuelle]],mutuelle[],2,FALSE)</f>
        <v>MUTUELLE DU PORT DE BORDEAUX</v>
      </c>
    </row>
    <row r="215" spans="1:17" x14ac:dyDescent="0.3">
      <c r="A215" s="8">
        <v>546</v>
      </c>
      <c r="B215" s="9" t="s">
        <v>1810</v>
      </c>
      <c r="C215" s="9" t="s">
        <v>1811</v>
      </c>
      <c r="D215" s="9" t="s">
        <v>1812</v>
      </c>
      <c r="E215" s="8">
        <v>75141</v>
      </c>
      <c r="F215" s="9" t="s">
        <v>274</v>
      </c>
      <c r="G215" s="9" t="s">
        <v>1813</v>
      </c>
      <c r="H215" s="8">
        <v>621915261</v>
      </c>
      <c r="I215" s="8">
        <v>34</v>
      </c>
      <c r="J215" s="8">
        <v>43</v>
      </c>
      <c r="K215" s="8">
        <v>117</v>
      </c>
      <c r="L215" s="9" t="s">
        <v>987</v>
      </c>
      <c r="M215" s="9" t="s">
        <v>993</v>
      </c>
      <c r="N215" s="8">
        <v>0</v>
      </c>
      <c r="O215" s="8">
        <v>21</v>
      </c>
      <c r="P215" s="8">
        <v>1</v>
      </c>
      <c r="Q215" s="8" t="str">
        <f>VLOOKUP(patient[[#This Row],[ID_mutuelle]],mutuelle[],2,FALSE)</f>
        <v>EOVI-MCD MUTUELLE</v>
      </c>
    </row>
    <row r="216" spans="1:17" x14ac:dyDescent="0.3">
      <c r="A216" s="8">
        <v>547</v>
      </c>
      <c r="B216" s="9" t="s">
        <v>1814</v>
      </c>
      <c r="C216" s="9" t="s">
        <v>1815</v>
      </c>
      <c r="D216" s="9" t="s">
        <v>1816</v>
      </c>
      <c r="E216" s="8">
        <v>95873</v>
      </c>
      <c r="F216" s="9" t="s">
        <v>129</v>
      </c>
      <c r="G216" s="9" t="s">
        <v>1817</v>
      </c>
      <c r="H216" s="8">
        <v>691913754</v>
      </c>
      <c r="I216" s="8">
        <v>67</v>
      </c>
      <c r="J216" s="8">
        <v>142</v>
      </c>
      <c r="K216" s="8">
        <v>100</v>
      </c>
      <c r="L216" s="9" t="s">
        <v>982</v>
      </c>
      <c r="M216" s="9" t="s">
        <v>993</v>
      </c>
      <c r="N216" s="8">
        <v>0</v>
      </c>
      <c r="O216" s="8">
        <v>198</v>
      </c>
      <c r="P216" s="8">
        <v>2</v>
      </c>
      <c r="Q216" s="8" t="str">
        <f>VLOOKUP(patient[[#This Row],[ID_mutuelle]],mutuelle[],2,FALSE)</f>
        <v>MUTUELLE LA SECURITE ASTURIENNE</v>
      </c>
    </row>
    <row r="217" spans="1:17" x14ac:dyDescent="0.3">
      <c r="A217" s="8">
        <v>548</v>
      </c>
      <c r="B217" s="9" t="s">
        <v>1818</v>
      </c>
      <c r="C217" s="9" t="s">
        <v>1819</v>
      </c>
      <c r="D217" s="9" t="s">
        <v>1820</v>
      </c>
      <c r="E217" s="8">
        <v>92151</v>
      </c>
      <c r="F217" s="9" t="s">
        <v>340</v>
      </c>
      <c r="G217" s="9" t="s">
        <v>1821</v>
      </c>
      <c r="H217" s="8">
        <v>652971940</v>
      </c>
      <c r="I217" s="8">
        <v>109</v>
      </c>
      <c r="J217" s="8">
        <v>93</v>
      </c>
      <c r="K217" s="8">
        <v>116</v>
      </c>
      <c r="L217" s="9" t="s">
        <v>982</v>
      </c>
      <c r="M217" s="9" t="s">
        <v>1045</v>
      </c>
      <c r="N217" s="8">
        <v>1</v>
      </c>
      <c r="O217" s="8">
        <v>115</v>
      </c>
      <c r="P217" s="8">
        <v>3</v>
      </c>
      <c r="Q217" s="8" t="str">
        <f>VLOOKUP(patient[[#This Row],[ID_mutuelle]],mutuelle[],2,FALSE)</f>
        <v>MUTUELLE DE SAINT JUNIEN ET DES ENVIRONS</v>
      </c>
    </row>
    <row r="218" spans="1:17" x14ac:dyDescent="0.3">
      <c r="A218" s="8">
        <v>549</v>
      </c>
      <c r="B218" s="9" t="s">
        <v>1822</v>
      </c>
      <c r="C218" s="9" t="s">
        <v>1823</v>
      </c>
      <c r="D218" s="9" t="s">
        <v>1824</v>
      </c>
      <c r="E218" s="8">
        <v>78722</v>
      </c>
      <c r="F218" s="9" t="s">
        <v>194</v>
      </c>
      <c r="G218" s="9" t="s">
        <v>1825</v>
      </c>
      <c r="H218" s="8">
        <v>643603354</v>
      </c>
      <c r="I218" s="8">
        <v>10</v>
      </c>
      <c r="J218" s="8">
        <v>98</v>
      </c>
      <c r="K218" s="8">
        <v>124</v>
      </c>
      <c r="L218" s="9" t="s">
        <v>982</v>
      </c>
      <c r="M218" s="9" t="s">
        <v>1077</v>
      </c>
      <c r="N218" s="8">
        <v>0</v>
      </c>
      <c r="O218" s="8">
        <v>56</v>
      </c>
      <c r="P218" s="8">
        <v>3</v>
      </c>
      <c r="Q218" s="8" t="str">
        <f>VLOOKUP(patient[[#This Row],[ID_mutuelle]],mutuelle[],2,FALSE)</f>
        <v>MGEN FILIA</v>
      </c>
    </row>
    <row r="219" spans="1:17" x14ac:dyDescent="0.3">
      <c r="A219" s="8">
        <v>550</v>
      </c>
      <c r="B219" s="9" t="s">
        <v>1826</v>
      </c>
      <c r="C219" s="9" t="s">
        <v>1827</v>
      </c>
      <c r="D219" s="9" t="s">
        <v>1828</v>
      </c>
      <c r="E219" s="8">
        <v>93890</v>
      </c>
      <c r="F219" s="9" t="s">
        <v>25</v>
      </c>
      <c r="G219" s="9" t="s">
        <v>1829</v>
      </c>
      <c r="H219" s="8">
        <v>614761563</v>
      </c>
      <c r="I219" s="8">
        <v>10</v>
      </c>
      <c r="J219" s="8">
        <v>50</v>
      </c>
      <c r="K219" s="8">
        <v>94</v>
      </c>
      <c r="L219" s="9" t="s">
        <v>982</v>
      </c>
      <c r="M219" s="9" t="s">
        <v>1045</v>
      </c>
      <c r="N219" s="8">
        <v>0</v>
      </c>
      <c r="O219" s="8">
        <v>186</v>
      </c>
      <c r="P219" s="8">
        <v>3</v>
      </c>
      <c r="Q219" s="8" t="str">
        <f>VLOOKUP(patient[[#This Row],[ID_mutuelle]],mutuelle[],2,FALSE)</f>
        <v>MUTUELLE GEODIS</v>
      </c>
    </row>
    <row r="220" spans="1:17" x14ac:dyDescent="0.3">
      <c r="A220" s="8">
        <v>551</v>
      </c>
      <c r="B220" s="9" t="s">
        <v>1830</v>
      </c>
      <c r="C220" s="9" t="s">
        <v>1831</v>
      </c>
      <c r="D220" s="9" t="s">
        <v>1832</v>
      </c>
      <c r="E220" s="8">
        <v>93480</v>
      </c>
      <c r="F220" s="9" t="s">
        <v>129</v>
      </c>
      <c r="G220" s="9" t="s">
        <v>1833</v>
      </c>
      <c r="H220" s="8">
        <v>674659458</v>
      </c>
      <c r="I220" s="8">
        <v>103</v>
      </c>
      <c r="J220" s="8">
        <v>61</v>
      </c>
      <c r="K220" s="8">
        <v>86</v>
      </c>
      <c r="L220" s="9" t="s">
        <v>987</v>
      </c>
      <c r="M220" s="9" t="s">
        <v>1032</v>
      </c>
      <c r="N220" s="8">
        <v>1</v>
      </c>
      <c r="O220" s="8">
        <v>192</v>
      </c>
      <c r="P220" s="8">
        <v>3</v>
      </c>
      <c r="Q220" s="8" t="str">
        <f>VLOOKUP(patient[[#This Row],[ID_mutuelle]],mutuelle[],2,FALSE)</f>
        <v>MUTUELLE INTERPROFESSIONNELLE ANTILLES GUYANE (MIAG)</v>
      </c>
    </row>
    <row r="221" spans="1:17" x14ac:dyDescent="0.3">
      <c r="A221" s="8">
        <v>552</v>
      </c>
      <c r="B221" s="9" t="s">
        <v>1834</v>
      </c>
      <c r="C221" s="9" t="s">
        <v>1835</v>
      </c>
      <c r="D221" s="9" t="s">
        <v>1836</v>
      </c>
      <c r="E221" s="8">
        <v>92169</v>
      </c>
      <c r="F221" s="9" t="s">
        <v>114</v>
      </c>
      <c r="G221" s="9" t="s">
        <v>1837</v>
      </c>
      <c r="H221" s="8">
        <v>689360784</v>
      </c>
      <c r="I221" s="8">
        <v>29</v>
      </c>
      <c r="J221" s="8">
        <v>68</v>
      </c>
      <c r="K221" s="8">
        <v>88</v>
      </c>
      <c r="L221" s="9" t="s">
        <v>987</v>
      </c>
      <c r="M221" s="9" t="s">
        <v>993</v>
      </c>
      <c r="N221" s="8">
        <v>1</v>
      </c>
      <c r="O221" s="8">
        <v>135</v>
      </c>
      <c r="P221" s="8">
        <v>1</v>
      </c>
      <c r="Q221" s="8" t="str">
        <f>VLOOKUP(patient[[#This Row],[ID_mutuelle]],mutuelle[],2,FALSE)</f>
        <v>MUTUELLE DES PERSONNELS MARITIMES</v>
      </c>
    </row>
    <row r="222" spans="1:17" x14ac:dyDescent="0.3">
      <c r="A222" s="8">
        <v>553</v>
      </c>
      <c r="B222" s="9" t="s">
        <v>1838</v>
      </c>
      <c r="C222" s="9" t="s">
        <v>1839</v>
      </c>
      <c r="D222" s="9" t="s">
        <v>1840</v>
      </c>
      <c r="E222" s="8">
        <v>94495</v>
      </c>
      <c r="F222" s="9" t="s">
        <v>46</v>
      </c>
      <c r="G222" s="9" t="s">
        <v>1841</v>
      </c>
      <c r="H222" s="8">
        <v>635614704</v>
      </c>
      <c r="I222" s="8">
        <v>88</v>
      </c>
      <c r="J222" s="8">
        <v>93</v>
      </c>
      <c r="K222" s="8">
        <v>110</v>
      </c>
      <c r="L222" s="9" t="s">
        <v>982</v>
      </c>
      <c r="M222" s="9" t="s">
        <v>993</v>
      </c>
      <c r="N222" s="8">
        <v>1</v>
      </c>
      <c r="O222" s="8">
        <v>259</v>
      </c>
      <c r="P222" s="8">
        <v>1</v>
      </c>
      <c r="Q222" s="8" t="str">
        <f>VLOOKUP(patient[[#This Row],[ID_mutuelle]],mutuelle[],2,FALSE)</f>
        <v>SORUAL</v>
      </c>
    </row>
    <row r="223" spans="1:17" x14ac:dyDescent="0.3">
      <c r="A223" s="8">
        <v>554</v>
      </c>
      <c r="B223" s="9" t="s">
        <v>1842</v>
      </c>
      <c r="C223" s="9" t="s">
        <v>1843</v>
      </c>
      <c r="D223" s="9" t="s">
        <v>1844</v>
      </c>
      <c r="E223" s="8">
        <v>78267</v>
      </c>
      <c r="F223" s="9" t="s">
        <v>213</v>
      </c>
      <c r="G223" s="9" t="s">
        <v>1845</v>
      </c>
      <c r="H223" s="8">
        <v>692454498</v>
      </c>
      <c r="I223" s="8">
        <v>42</v>
      </c>
      <c r="J223" s="8">
        <v>89</v>
      </c>
      <c r="K223" s="8">
        <v>230</v>
      </c>
      <c r="L223" s="9" t="s">
        <v>982</v>
      </c>
      <c r="M223" s="9" t="s">
        <v>993</v>
      </c>
      <c r="N223" s="8">
        <v>1</v>
      </c>
      <c r="O223" s="8">
        <v>135</v>
      </c>
      <c r="P223" s="8">
        <v>2</v>
      </c>
      <c r="Q223" s="8" t="str">
        <f>VLOOKUP(patient[[#This Row],[ID_mutuelle]],mutuelle[],2,FALSE)</f>
        <v>MUTUELLE DES PERSONNELS MARITIMES</v>
      </c>
    </row>
    <row r="224" spans="1:17" x14ac:dyDescent="0.3">
      <c r="A224" s="8">
        <v>555</v>
      </c>
      <c r="B224" s="9" t="s">
        <v>1846</v>
      </c>
      <c r="C224" s="9" t="s">
        <v>1847</v>
      </c>
      <c r="D224" s="9" t="s">
        <v>1848</v>
      </c>
      <c r="E224" s="8">
        <v>93349</v>
      </c>
      <c r="F224" s="9" t="s">
        <v>213</v>
      </c>
      <c r="G224" s="9" t="s">
        <v>1849</v>
      </c>
      <c r="H224" s="8">
        <v>659993421</v>
      </c>
      <c r="I224" s="8">
        <v>8</v>
      </c>
      <c r="J224" s="8">
        <v>29</v>
      </c>
      <c r="K224" s="8">
        <v>100</v>
      </c>
      <c r="L224" s="9" t="s">
        <v>987</v>
      </c>
      <c r="M224" s="9" t="s">
        <v>1032</v>
      </c>
      <c r="N224" s="8">
        <v>1</v>
      </c>
      <c r="O224" s="8">
        <v>2</v>
      </c>
      <c r="P224" s="8">
        <v>3</v>
      </c>
      <c r="Q224" s="8" t="str">
        <f>VLOOKUP(patient[[#This Row],[ID_mutuelle]],mutuelle[],2,FALSE)</f>
        <v>ADREA MUTUELLE</v>
      </c>
    </row>
    <row r="225" spans="1:17" x14ac:dyDescent="0.3">
      <c r="A225" s="8">
        <v>556</v>
      </c>
      <c r="B225" s="9" t="s">
        <v>1850</v>
      </c>
      <c r="C225" s="9" t="s">
        <v>1851</v>
      </c>
      <c r="D225" s="9" t="s">
        <v>1852</v>
      </c>
      <c r="E225" s="8">
        <v>95550</v>
      </c>
      <c r="F225" s="9" t="s">
        <v>162</v>
      </c>
      <c r="G225" s="9" t="s">
        <v>1853</v>
      </c>
      <c r="H225" s="8">
        <v>675836331</v>
      </c>
      <c r="I225" s="8">
        <v>37</v>
      </c>
      <c r="J225" s="8">
        <v>59</v>
      </c>
      <c r="K225" s="8">
        <v>138</v>
      </c>
      <c r="L225" s="9" t="s">
        <v>987</v>
      </c>
      <c r="M225" s="9" t="s">
        <v>1077</v>
      </c>
      <c r="N225" s="8">
        <v>1</v>
      </c>
      <c r="O225" s="8">
        <v>112</v>
      </c>
      <c r="P225" s="8">
        <v>1</v>
      </c>
      <c r="Q225" s="8" t="str">
        <f>VLOOKUP(patient[[#This Row],[ID_mutuelle]],mutuelle[],2,FALSE)</f>
        <v>MUTUELLE DE PREVOYANCE DU PERSONNEL DE LA MACIF</v>
      </c>
    </row>
    <row r="226" spans="1:17" x14ac:dyDescent="0.3">
      <c r="A226" s="8">
        <v>557</v>
      </c>
      <c r="B226" s="9" t="s">
        <v>1854</v>
      </c>
      <c r="C226" s="9" t="s">
        <v>1855</v>
      </c>
      <c r="D226" s="9" t="s">
        <v>1856</v>
      </c>
      <c r="E226" s="8">
        <v>95377</v>
      </c>
      <c r="F226" s="9" t="s">
        <v>208</v>
      </c>
      <c r="G226" s="9" t="s">
        <v>1857</v>
      </c>
      <c r="H226" s="8">
        <v>686788688</v>
      </c>
      <c r="I226" s="8">
        <v>60</v>
      </c>
      <c r="J226" s="8">
        <v>70</v>
      </c>
      <c r="K226" s="8">
        <v>219</v>
      </c>
      <c r="L226" s="9" t="s">
        <v>982</v>
      </c>
      <c r="M226" s="9" t="s">
        <v>993</v>
      </c>
      <c r="N226" s="8">
        <v>0</v>
      </c>
      <c r="O226" s="8">
        <v>89</v>
      </c>
      <c r="P226" s="8">
        <v>1</v>
      </c>
      <c r="Q226" s="8" t="str">
        <f>VLOOKUP(patient[[#This Row],[ID_mutuelle]],mutuelle[],2,FALSE)</f>
        <v>MUTUELLE D'ENTREPRISE UGINE GUEUGNON &amp; ALZ</v>
      </c>
    </row>
    <row r="227" spans="1:17" x14ac:dyDescent="0.3">
      <c r="A227" s="8">
        <v>558</v>
      </c>
      <c r="B227" s="9" t="s">
        <v>544</v>
      </c>
      <c r="C227" s="9" t="s">
        <v>1858</v>
      </c>
      <c r="D227" s="9" t="s">
        <v>1859</v>
      </c>
      <c r="E227" s="8">
        <v>78576</v>
      </c>
      <c r="F227" s="9" t="s">
        <v>168</v>
      </c>
      <c r="G227" s="9" t="s">
        <v>1860</v>
      </c>
      <c r="H227" s="8">
        <v>684205617</v>
      </c>
      <c r="I227" s="8">
        <v>87</v>
      </c>
      <c r="J227" s="8">
        <v>70</v>
      </c>
      <c r="K227" s="8">
        <v>116</v>
      </c>
      <c r="L227" s="9" t="s">
        <v>987</v>
      </c>
      <c r="M227" s="9" t="s">
        <v>993</v>
      </c>
      <c r="N227" s="8">
        <v>1</v>
      </c>
      <c r="O227" s="8">
        <v>191</v>
      </c>
      <c r="P227" s="8">
        <v>3</v>
      </c>
      <c r="Q227" s="8" t="str">
        <f>VLOOKUP(patient[[#This Row],[ID_mutuelle]],mutuelle[],2,FALSE)</f>
        <v>MUTUELLE INTERGROUPES POLIET ET CIMENT FRANCAIS</v>
      </c>
    </row>
    <row r="228" spans="1:17" x14ac:dyDescent="0.3">
      <c r="A228" s="8">
        <v>559</v>
      </c>
      <c r="B228" s="9" t="s">
        <v>1861</v>
      </c>
      <c r="C228" s="9" t="s">
        <v>1862</v>
      </c>
      <c r="D228" s="9" t="s">
        <v>1863</v>
      </c>
      <c r="E228" s="8">
        <v>93746</v>
      </c>
      <c r="F228" s="9" t="s">
        <v>288</v>
      </c>
      <c r="G228" s="9" t="s">
        <v>1864</v>
      </c>
      <c r="H228" s="8">
        <v>653506097</v>
      </c>
      <c r="I228" s="8">
        <v>22</v>
      </c>
      <c r="J228" s="8">
        <v>73</v>
      </c>
      <c r="K228" s="8">
        <v>222</v>
      </c>
      <c r="L228" s="9" t="s">
        <v>987</v>
      </c>
      <c r="M228" s="9" t="s">
        <v>993</v>
      </c>
      <c r="N228" s="8">
        <v>0</v>
      </c>
      <c r="O228" s="8">
        <v>111</v>
      </c>
      <c r="P228" s="8">
        <v>3</v>
      </c>
      <c r="Q228" s="8" t="str">
        <f>VLOOKUP(patient[[#This Row],[ID_mutuelle]],mutuelle[],2,FALSE)</f>
        <v>MUTUELLE DE PONTOISE</v>
      </c>
    </row>
    <row r="229" spans="1:17" x14ac:dyDescent="0.3">
      <c r="A229" s="8">
        <v>560</v>
      </c>
      <c r="B229" s="9" t="s">
        <v>1865</v>
      </c>
      <c r="C229" s="9" t="s">
        <v>1484</v>
      </c>
      <c r="D229" s="9" t="s">
        <v>1866</v>
      </c>
      <c r="E229" s="8">
        <v>91511</v>
      </c>
      <c r="F229" s="9" t="s">
        <v>168</v>
      </c>
      <c r="G229" s="9" t="s">
        <v>1867</v>
      </c>
      <c r="H229" s="8">
        <v>668211759</v>
      </c>
      <c r="I229" s="8">
        <v>95</v>
      </c>
      <c r="J229" s="8">
        <v>146</v>
      </c>
      <c r="K229" s="8">
        <v>182</v>
      </c>
      <c r="L229" s="9" t="s">
        <v>982</v>
      </c>
      <c r="M229" s="9" t="s">
        <v>993</v>
      </c>
      <c r="N229" s="8">
        <v>0</v>
      </c>
      <c r="O229" s="8">
        <v>251</v>
      </c>
      <c r="P229" s="8">
        <v>3</v>
      </c>
      <c r="Q229" s="8" t="str">
        <f>VLOOKUP(patient[[#This Row],[ID_mutuelle]],mutuelle[],2,FALSE)</f>
        <v>SOCIETE MUTUALISTE DU PERSONNEL ACTIF ET RETRAITE DE LA MARQUE</v>
      </c>
    </row>
    <row r="230" spans="1:17" x14ac:dyDescent="0.3">
      <c r="A230" s="8">
        <v>561</v>
      </c>
      <c r="B230" s="9" t="s">
        <v>1868</v>
      </c>
      <c r="C230" s="9" t="s">
        <v>1869</v>
      </c>
      <c r="D230" s="9" t="s">
        <v>1870</v>
      </c>
      <c r="E230" s="8">
        <v>91347</v>
      </c>
      <c r="F230" s="9" t="s">
        <v>477</v>
      </c>
      <c r="G230" s="9" t="s">
        <v>1871</v>
      </c>
      <c r="H230" s="8">
        <v>652581480</v>
      </c>
      <c r="I230" s="8">
        <v>6</v>
      </c>
      <c r="J230" s="8">
        <v>11</v>
      </c>
      <c r="K230" s="8">
        <v>137</v>
      </c>
      <c r="L230" s="9" t="s">
        <v>982</v>
      </c>
      <c r="M230" s="9" t="s">
        <v>1077</v>
      </c>
      <c r="N230" s="8">
        <v>1</v>
      </c>
      <c r="O230" s="8">
        <v>45</v>
      </c>
      <c r="P230" s="8">
        <v>1</v>
      </c>
      <c r="Q230" s="8" t="str">
        <f>VLOOKUP(patient[[#This Row],[ID_mutuelle]],mutuelle[],2,FALSE)</f>
        <v>LA VENDARGUOISE</v>
      </c>
    </row>
    <row r="231" spans="1:17" x14ac:dyDescent="0.3">
      <c r="A231" s="8">
        <v>562</v>
      </c>
      <c r="B231" s="9" t="s">
        <v>1872</v>
      </c>
      <c r="C231" s="9" t="s">
        <v>1873</v>
      </c>
      <c r="D231" s="9" t="s">
        <v>1874</v>
      </c>
      <c r="E231" s="8">
        <v>95505</v>
      </c>
      <c r="F231" s="9" t="s">
        <v>129</v>
      </c>
      <c r="G231" s="9" t="s">
        <v>1875</v>
      </c>
      <c r="H231" s="8">
        <v>667886633</v>
      </c>
      <c r="I231" s="8">
        <v>49</v>
      </c>
      <c r="J231" s="8">
        <v>13</v>
      </c>
      <c r="K231" s="8">
        <v>162</v>
      </c>
      <c r="L231" s="9" t="s">
        <v>982</v>
      </c>
      <c r="M231" s="9" t="s">
        <v>993</v>
      </c>
      <c r="N231" s="8">
        <v>0</v>
      </c>
      <c r="O231" s="8">
        <v>217</v>
      </c>
      <c r="P231" s="8">
        <v>3</v>
      </c>
      <c r="Q231" s="8" t="str">
        <f>VLOOKUP(patient[[#This Row],[ID_mutuelle]],mutuelle[],2,FALSE)</f>
        <v>MUTUELLE OCIANE MATMUT</v>
      </c>
    </row>
    <row r="232" spans="1:17" x14ac:dyDescent="0.3">
      <c r="A232" s="8">
        <v>563</v>
      </c>
      <c r="B232" s="9" t="s">
        <v>1876</v>
      </c>
      <c r="C232" s="9" t="s">
        <v>1877</v>
      </c>
      <c r="D232" s="9" t="s">
        <v>1878</v>
      </c>
      <c r="E232" s="8">
        <v>75713</v>
      </c>
      <c r="F232" s="9" t="s">
        <v>208</v>
      </c>
      <c r="G232" s="9" t="s">
        <v>1879</v>
      </c>
      <c r="H232" s="8">
        <v>646972535</v>
      </c>
      <c r="I232" s="8">
        <v>38</v>
      </c>
      <c r="J232" s="8">
        <v>93</v>
      </c>
      <c r="K232" s="8">
        <v>158</v>
      </c>
      <c r="L232" s="9" t="s">
        <v>987</v>
      </c>
      <c r="M232" s="9" t="s">
        <v>993</v>
      </c>
      <c r="N232" s="8">
        <v>1</v>
      </c>
      <c r="O232" s="8">
        <v>179</v>
      </c>
      <c r="P232" s="8">
        <v>3</v>
      </c>
      <c r="Q232" s="8" t="str">
        <f>VLOOKUP(patient[[#This Row],[ID_mutuelle]],mutuelle[],2,FALSE)</f>
        <v>MUTUELLE GENERALE DE PREVOYANCE ET D'ASSISTANCE</v>
      </c>
    </row>
    <row r="233" spans="1:17" x14ac:dyDescent="0.3">
      <c r="A233" s="8">
        <v>564</v>
      </c>
      <c r="B233" s="9" t="s">
        <v>1880</v>
      </c>
      <c r="C233" s="9" t="s">
        <v>1881</v>
      </c>
      <c r="D233" s="9" t="s">
        <v>1882</v>
      </c>
      <c r="E233" s="8">
        <v>78607</v>
      </c>
      <c r="F233" s="9" t="s">
        <v>109</v>
      </c>
      <c r="G233" s="9" t="s">
        <v>1883</v>
      </c>
      <c r="H233" s="8">
        <v>653336298</v>
      </c>
      <c r="I233" s="8">
        <v>31</v>
      </c>
      <c r="J233" s="8">
        <v>23</v>
      </c>
      <c r="K233" s="8">
        <v>95</v>
      </c>
      <c r="L233" s="9" t="s">
        <v>982</v>
      </c>
      <c r="M233" s="9" t="s">
        <v>1015</v>
      </c>
      <c r="N233" s="8">
        <v>1</v>
      </c>
      <c r="O233" s="8">
        <v>74</v>
      </c>
      <c r="P233" s="8">
        <v>1</v>
      </c>
      <c r="Q233" s="8" t="str">
        <f>VLOOKUP(patient[[#This Row],[ID_mutuelle]],mutuelle[],2,FALSE)</f>
        <v>MUTUELLE AIDE ET SOLIDARITE</v>
      </c>
    </row>
    <row r="234" spans="1:17" x14ac:dyDescent="0.3">
      <c r="A234" s="8">
        <v>565</v>
      </c>
      <c r="B234" s="9" t="s">
        <v>1884</v>
      </c>
      <c r="C234" s="9" t="s">
        <v>355</v>
      </c>
      <c r="D234" s="9" t="s">
        <v>1885</v>
      </c>
      <c r="E234" s="8">
        <v>94150</v>
      </c>
      <c r="F234" s="9" t="s">
        <v>582</v>
      </c>
      <c r="G234" s="9" t="s">
        <v>1886</v>
      </c>
      <c r="H234" s="8">
        <v>617989014</v>
      </c>
      <c r="I234" s="8">
        <v>82</v>
      </c>
      <c r="J234" s="8">
        <v>86</v>
      </c>
      <c r="K234" s="8">
        <v>221</v>
      </c>
      <c r="L234" s="9" t="s">
        <v>982</v>
      </c>
      <c r="M234" s="9" t="s">
        <v>1015</v>
      </c>
      <c r="N234" s="8">
        <v>0</v>
      </c>
      <c r="O234" s="8">
        <v>143</v>
      </c>
      <c r="P234" s="8">
        <v>3</v>
      </c>
      <c r="Q234" s="8" t="str">
        <f>VLOOKUP(patient[[#This Row],[ID_mutuelle]],mutuelle[],2,FALSE)</f>
        <v>MUTUELLE DES TERRITORIAUX ET HOSPITALIERS</v>
      </c>
    </row>
    <row r="235" spans="1:17" x14ac:dyDescent="0.3">
      <c r="A235" s="8">
        <v>566</v>
      </c>
      <c r="B235" s="9" t="s">
        <v>1887</v>
      </c>
      <c r="C235" s="9" t="s">
        <v>1888</v>
      </c>
      <c r="D235" s="9" t="s">
        <v>1889</v>
      </c>
      <c r="E235" s="8">
        <v>92972</v>
      </c>
      <c r="F235" s="9" t="s">
        <v>124</v>
      </c>
      <c r="G235" s="9" t="s">
        <v>1890</v>
      </c>
      <c r="H235" s="8">
        <v>622377821</v>
      </c>
      <c r="I235" s="8">
        <v>4</v>
      </c>
      <c r="J235" s="8">
        <v>58</v>
      </c>
      <c r="K235" s="8">
        <v>215</v>
      </c>
      <c r="L235" s="9" t="s">
        <v>987</v>
      </c>
      <c r="M235" s="9" t="s">
        <v>1077</v>
      </c>
      <c r="N235" s="8">
        <v>1</v>
      </c>
      <c r="O235" s="8">
        <v>143</v>
      </c>
      <c r="P235" s="8">
        <v>2</v>
      </c>
      <c r="Q235" s="8" t="str">
        <f>VLOOKUP(patient[[#This Row],[ID_mutuelle]],mutuelle[],2,FALSE)</f>
        <v>MUTUELLE DES TERRITORIAUX ET HOSPITALIERS</v>
      </c>
    </row>
    <row r="236" spans="1:17" x14ac:dyDescent="0.3">
      <c r="A236" s="8">
        <v>567</v>
      </c>
      <c r="B236" s="9" t="s">
        <v>1891</v>
      </c>
      <c r="C236" s="9" t="s">
        <v>1892</v>
      </c>
      <c r="D236" s="9" t="s">
        <v>1893</v>
      </c>
      <c r="E236" s="8">
        <v>93684</v>
      </c>
      <c r="F236" s="9" t="s">
        <v>288</v>
      </c>
      <c r="G236" s="9" t="s">
        <v>1894</v>
      </c>
      <c r="H236" s="8">
        <v>684815178</v>
      </c>
      <c r="I236" s="8">
        <v>3</v>
      </c>
      <c r="J236" s="8">
        <v>3</v>
      </c>
      <c r="K236" s="8">
        <v>125</v>
      </c>
      <c r="L236" s="9" t="s">
        <v>987</v>
      </c>
      <c r="M236" s="9" t="s">
        <v>1077</v>
      </c>
      <c r="N236" s="8">
        <v>1</v>
      </c>
      <c r="O236" s="8">
        <v>47</v>
      </c>
      <c r="P236" s="8">
        <v>2</v>
      </c>
      <c r="Q236" s="8" t="str">
        <f>VLOOKUP(patient[[#This Row],[ID_mutuelle]],mutuelle[],2,FALSE)</f>
        <v>LOU CLAPAS - L'AVEYRONNAISE</v>
      </c>
    </row>
    <row r="237" spans="1:17" x14ac:dyDescent="0.3">
      <c r="A237" s="8">
        <v>568</v>
      </c>
      <c r="B237" s="9" t="s">
        <v>1895</v>
      </c>
      <c r="C237" s="9" t="s">
        <v>1896</v>
      </c>
      <c r="D237" s="9" t="s">
        <v>1897</v>
      </c>
      <c r="E237" s="8">
        <v>93130</v>
      </c>
      <c r="F237" s="9" t="s">
        <v>477</v>
      </c>
      <c r="G237" s="9" t="s">
        <v>1898</v>
      </c>
      <c r="H237" s="8">
        <v>632998654</v>
      </c>
      <c r="I237" s="8">
        <v>28</v>
      </c>
      <c r="J237" s="8">
        <v>47</v>
      </c>
      <c r="K237" s="8">
        <v>96</v>
      </c>
      <c r="L237" s="9" t="s">
        <v>987</v>
      </c>
      <c r="M237" s="9" t="s">
        <v>1015</v>
      </c>
      <c r="N237" s="8">
        <v>1</v>
      </c>
      <c r="O237" s="8">
        <v>176</v>
      </c>
      <c r="P237" s="8">
        <v>3</v>
      </c>
      <c r="Q237" s="8" t="str">
        <f>VLOOKUP(patient[[#This Row],[ID_mutuelle]],mutuelle[],2,FALSE)</f>
        <v>MUTUELLE FAMILIALE DES TRAVAILLEURS DU GROUPE SAFRAN</v>
      </c>
    </row>
    <row r="238" spans="1:17" x14ac:dyDescent="0.3">
      <c r="A238" s="8">
        <v>569</v>
      </c>
      <c r="B238" s="9" t="s">
        <v>1899</v>
      </c>
      <c r="C238" s="9" t="s">
        <v>1900</v>
      </c>
      <c r="D238" s="9" t="s">
        <v>1901</v>
      </c>
      <c r="E238" s="8">
        <v>91658</v>
      </c>
      <c r="F238" s="9" t="s">
        <v>274</v>
      </c>
      <c r="G238" s="9" t="s">
        <v>1902</v>
      </c>
      <c r="H238" s="8">
        <v>682774126</v>
      </c>
      <c r="I238" s="8">
        <v>71</v>
      </c>
      <c r="J238" s="8">
        <v>66</v>
      </c>
      <c r="K238" s="8">
        <v>141</v>
      </c>
      <c r="L238" s="9" t="s">
        <v>987</v>
      </c>
      <c r="M238" s="9" t="s">
        <v>993</v>
      </c>
      <c r="N238" s="8">
        <v>0</v>
      </c>
      <c r="O238" s="8">
        <v>263</v>
      </c>
      <c r="P238" s="8">
        <v>1</v>
      </c>
      <c r="Q238" s="8" t="str">
        <f>VLOOKUP(patient[[#This Row],[ID_mutuelle]],mutuelle[],2,FALSE)</f>
        <v>UMEN</v>
      </c>
    </row>
    <row r="239" spans="1:17" x14ac:dyDescent="0.3">
      <c r="A239" s="8">
        <v>570</v>
      </c>
      <c r="B239" s="9" t="s">
        <v>1903</v>
      </c>
      <c r="C239" s="9" t="s">
        <v>1904</v>
      </c>
      <c r="D239" s="9" t="s">
        <v>1905</v>
      </c>
      <c r="E239" s="8">
        <v>92859</v>
      </c>
      <c r="F239" s="9" t="s">
        <v>65</v>
      </c>
      <c r="G239" s="9" t="s">
        <v>1906</v>
      </c>
      <c r="H239" s="8">
        <v>652779946</v>
      </c>
      <c r="I239" s="8">
        <v>41</v>
      </c>
      <c r="J239" s="8">
        <v>26</v>
      </c>
      <c r="K239" s="8">
        <v>148</v>
      </c>
      <c r="L239" s="9" t="s">
        <v>982</v>
      </c>
      <c r="M239" s="9" t="s">
        <v>993</v>
      </c>
      <c r="N239" s="8">
        <v>0</v>
      </c>
      <c r="O239" s="8">
        <v>187</v>
      </c>
      <c r="P239" s="8">
        <v>2</v>
      </c>
      <c r="Q239" s="8" t="str">
        <f>VLOOKUP(patient[[#This Row],[ID_mutuelle]],mutuelle[],2,FALSE)</f>
        <v>MUTUELLE IBAMEO</v>
      </c>
    </row>
    <row r="240" spans="1:17" x14ac:dyDescent="0.3">
      <c r="A240" s="8">
        <v>571</v>
      </c>
      <c r="B240" s="9" t="s">
        <v>1907</v>
      </c>
      <c r="C240" s="9" t="s">
        <v>1908</v>
      </c>
      <c r="D240" s="9" t="s">
        <v>1909</v>
      </c>
      <c r="E240" s="8">
        <v>95370</v>
      </c>
      <c r="F240" s="9" t="s">
        <v>288</v>
      </c>
      <c r="G240" s="9" t="s">
        <v>1910</v>
      </c>
      <c r="H240" s="8">
        <v>670124097</v>
      </c>
      <c r="I240" s="8">
        <v>83</v>
      </c>
      <c r="J240" s="8">
        <v>140</v>
      </c>
      <c r="K240" s="8">
        <v>159</v>
      </c>
      <c r="L240" s="9" t="s">
        <v>982</v>
      </c>
      <c r="M240" s="9" t="s">
        <v>993</v>
      </c>
      <c r="N240" s="8">
        <v>1</v>
      </c>
      <c r="O240" s="8">
        <v>164</v>
      </c>
      <c r="P240" s="8">
        <v>2</v>
      </c>
      <c r="Q240" s="8" t="str">
        <f>VLOOKUP(patient[[#This Row],[ID_mutuelle]],mutuelle[],2,FALSE)</f>
        <v>MUTUELLE DU PORT DE BORDEAUX</v>
      </c>
    </row>
    <row r="241" spans="1:17" x14ac:dyDescent="0.3">
      <c r="A241" s="8">
        <v>572</v>
      </c>
      <c r="B241" s="9" t="s">
        <v>1911</v>
      </c>
      <c r="C241" s="9" t="s">
        <v>1912</v>
      </c>
      <c r="D241" s="9" t="s">
        <v>1913</v>
      </c>
      <c r="E241" s="8">
        <v>75625</v>
      </c>
      <c r="F241" s="9" t="s">
        <v>114</v>
      </c>
      <c r="G241" s="9" t="s">
        <v>1914</v>
      </c>
      <c r="H241" s="8">
        <v>688573180</v>
      </c>
      <c r="I241" s="8">
        <v>42</v>
      </c>
      <c r="J241" s="8">
        <v>69</v>
      </c>
      <c r="K241" s="8">
        <v>193</v>
      </c>
      <c r="L241" s="9" t="s">
        <v>982</v>
      </c>
      <c r="M241" s="9" t="s">
        <v>1077</v>
      </c>
      <c r="N241" s="8">
        <v>0</v>
      </c>
      <c r="O241" s="8">
        <v>233</v>
      </c>
      <c r="P241" s="8">
        <v>1</v>
      </c>
      <c r="Q241" s="8" t="str">
        <f>VLOOKUP(patient[[#This Row],[ID_mutuelle]],mutuelle[],2,FALSE)</f>
        <v>MUTUELLE VERRIERS ET ASSIMILES</v>
      </c>
    </row>
    <row r="242" spans="1:17" x14ac:dyDescent="0.3">
      <c r="A242" s="8">
        <v>573</v>
      </c>
      <c r="B242" s="9" t="s">
        <v>1915</v>
      </c>
      <c r="C242" s="9" t="s">
        <v>1916</v>
      </c>
      <c r="D242" s="9" t="s">
        <v>1917</v>
      </c>
      <c r="E242" s="8">
        <v>92299</v>
      </c>
      <c r="F242" s="9" t="s">
        <v>194</v>
      </c>
      <c r="G242" s="9" t="s">
        <v>1918</v>
      </c>
      <c r="H242" s="8">
        <v>652807022</v>
      </c>
      <c r="I242" s="8">
        <v>31</v>
      </c>
      <c r="J242" s="8">
        <v>21</v>
      </c>
      <c r="K242" s="8">
        <v>104</v>
      </c>
      <c r="L242" s="9" t="s">
        <v>982</v>
      </c>
      <c r="M242" s="9" t="s">
        <v>993</v>
      </c>
      <c r="N242" s="8">
        <v>0</v>
      </c>
      <c r="O242" s="8">
        <v>202</v>
      </c>
      <c r="P242" s="8">
        <v>3</v>
      </c>
      <c r="Q242" s="8" t="str">
        <f>VLOOKUP(patient[[#This Row],[ID_mutuelle]],mutuelle[],2,FALSE)</f>
        <v>MUTUELLE MALAKOFF HUMANIS</v>
      </c>
    </row>
    <row r="243" spans="1:17" x14ac:dyDescent="0.3">
      <c r="A243" s="8">
        <v>574</v>
      </c>
      <c r="B243" s="9" t="s">
        <v>1919</v>
      </c>
      <c r="C243" s="9" t="s">
        <v>1920</v>
      </c>
      <c r="D243" s="9" t="s">
        <v>1921</v>
      </c>
      <c r="E243" s="8">
        <v>94411</v>
      </c>
      <c r="F243" s="9" t="s">
        <v>65</v>
      </c>
      <c r="G243" s="9" t="s">
        <v>1922</v>
      </c>
      <c r="H243" s="8">
        <v>665107843</v>
      </c>
      <c r="I243" s="8">
        <v>80</v>
      </c>
      <c r="J243" s="8">
        <v>42</v>
      </c>
      <c r="K243" s="8">
        <v>92</v>
      </c>
      <c r="L243" s="9" t="s">
        <v>987</v>
      </c>
      <c r="M243" s="9" t="s">
        <v>1032</v>
      </c>
      <c r="N243" s="8">
        <v>1</v>
      </c>
      <c r="O243" s="8">
        <v>5</v>
      </c>
      <c r="P243" s="8">
        <v>3</v>
      </c>
      <c r="Q243" s="8" t="str">
        <f>VLOOKUP(patient[[#This Row],[ID_mutuelle]],mutuelle[],2,FALSE)</f>
        <v>AMICALE DU PERSONNEL DE FLEURY MICHON SA</v>
      </c>
    </row>
    <row r="244" spans="1:17" x14ac:dyDescent="0.3">
      <c r="A244" s="8">
        <v>575</v>
      </c>
      <c r="B244" s="9" t="s">
        <v>1923</v>
      </c>
      <c r="C244" s="9" t="s">
        <v>1924</v>
      </c>
      <c r="D244" s="9" t="s">
        <v>1925</v>
      </c>
      <c r="E244" s="8">
        <v>92324</v>
      </c>
      <c r="F244" s="9" t="s">
        <v>124</v>
      </c>
      <c r="G244" s="9" t="s">
        <v>1926</v>
      </c>
      <c r="H244" s="8">
        <v>687892008</v>
      </c>
      <c r="I244" s="8">
        <v>94</v>
      </c>
      <c r="J244" s="8">
        <v>5</v>
      </c>
      <c r="K244" s="8">
        <v>118</v>
      </c>
      <c r="L244" s="9" t="s">
        <v>987</v>
      </c>
      <c r="M244" s="9" t="s">
        <v>988</v>
      </c>
      <c r="N244" s="8">
        <v>1</v>
      </c>
      <c r="O244" s="8">
        <v>159</v>
      </c>
      <c r="P244" s="8">
        <v>1</v>
      </c>
      <c r="Q244" s="8" t="str">
        <f>VLOOKUP(patient[[#This Row],[ID_mutuelle]],mutuelle[],2,FALSE)</f>
        <v>MUTUELLE DU PERSONNEL DES TRANSPORTS URBAINS DE CANNES - BUS AZUR</v>
      </c>
    </row>
    <row r="245" spans="1:17" x14ac:dyDescent="0.3">
      <c r="A245" s="8">
        <v>576</v>
      </c>
      <c r="B245" s="9" t="s">
        <v>1927</v>
      </c>
      <c r="C245" s="9" t="s">
        <v>1928</v>
      </c>
      <c r="D245" s="9" t="s">
        <v>1929</v>
      </c>
      <c r="E245" s="8">
        <v>78881</v>
      </c>
      <c r="F245" s="9" t="s">
        <v>114</v>
      </c>
      <c r="G245" s="9" t="s">
        <v>1930</v>
      </c>
      <c r="H245" s="8">
        <v>657930908</v>
      </c>
      <c r="I245" s="8">
        <v>7</v>
      </c>
      <c r="J245" s="8">
        <v>63</v>
      </c>
      <c r="K245" s="8">
        <v>182</v>
      </c>
      <c r="L245" s="9" t="s">
        <v>982</v>
      </c>
      <c r="M245" s="9" t="s">
        <v>1015</v>
      </c>
      <c r="N245" s="8">
        <v>1</v>
      </c>
      <c r="O245" s="8">
        <v>231</v>
      </c>
      <c r="P245" s="8">
        <v>2</v>
      </c>
      <c r="Q245" s="8" t="str">
        <f>VLOOKUP(patient[[#This Row],[ID_mutuelle]],mutuelle[],2,FALSE)</f>
        <v>MUTUELLE VALEO</v>
      </c>
    </row>
    <row r="246" spans="1:17" x14ac:dyDescent="0.3">
      <c r="A246" s="8">
        <v>577</v>
      </c>
      <c r="B246" s="9" t="s">
        <v>1931</v>
      </c>
      <c r="C246" s="9" t="s">
        <v>1208</v>
      </c>
      <c r="D246" s="9" t="s">
        <v>1932</v>
      </c>
      <c r="E246" s="8">
        <v>92463</v>
      </c>
      <c r="F246" s="9" t="s">
        <v>368</v>
      </c>
      <c r="G246" s="9" t="s">
        <v>1933</v>
      </c>
      <c r="H246" s="8">
        <v>665901382</v>
      </c>
      <c r="I246" s="8">
        <v>58</v>
      </c>
      <c r="J246" s="8">
        <v>64</v>
      </c>
      <c r="K246" s="8">
        <v>155</v>
      </c>
      <c r="L246" s="9" t="s">
        <v>982</v>
      </c>
      <c r="M246" s="9" t="s">
        <v>993</v>
      </c>
      <c r="N246" s="8">
        <v>1</v>
      </c>
      <c r="O246" s="8">
        <v>187</v>
      </c>
      <c r="P246" s="8">
        <v>2</v>
      </c>
      <c r="Q246" s="8" t="str">
        <f>VLOOKUP(patient[[#This Row],[ID_mutuelle]],mutuelle[],2,FALSE)</f>
        <v>MUTUELLE IBAMEO</v>
      </c>
    </row>
    <row r="247" spans="1:17" x14ac:dyDescent="0.3">
      <c r="A247" s="8">
        <v>578</v>
      </c>
      <c r="B247" s="9" t="s">
        <v>1934</v>
      </c>
      <c r="C247" s="9" t="s">
        <v>1935</v>
      </c>
      <c r="D247" s="9" t="s">
        <v>1936</v>
      </c>
      <c r="E247" s="8">
        <v>92331</v>
      </c>
      <c r="F247" s="9" t="s">
        <v>189</v>
      </c>
      <c r="G247" s="9" t="s">
        <v>1937</v>
      </c>
      <c r="H247" s="8">
        <v>638033905</v>
      </c>
      <c r="I247" s="8">
        <v>8</v>
      </c>
      <c r="J247" s="8">
        <v>118</v>
      </c>
      <c r="K247" s="8">
        <v>183</v>
      </c>
      <c r="L247" s="9" t="s">
        <v>982</v>
      </c>
      <c r="M247" s="9" t="s">
        <v>988</v>
      </c>
      <c r="N247" s="8">
        <v>1</v>
      </c>
      <c r="O247" s="8">
        <v>60</v>
      </c>
      <c r="P247" s="8">
        <v>3</v>
      </c>
      <c r="Q247" s="8" t="str">
        <f>VLOOKUP(patient[[#This Row],[ID_mutuelle]],mutuelle[],2,FALSE)</f>
        <v>MUROS</v>
      </c>
    </row>
    <row r="248" spans="1:17" x14ac:dyDescent="0.3">
      <c r="A248" s="8">
        <v>579</v>
      </c>
      <c r="B248" s="9" t="s">
        <v>1938</v>
      </c>
      <c r="C248" s="9" t="s">
        <v>1939</v>
      </c>
      <c r="D248" s="9" t="s">
        <v>1940</v>
      </c>
      <c r="E248" s="8">
        <v>95796</v>
      </c>
      <c r="F248" s="9" t="s">
        <v>114</v>
      </c>
      <c r="G248" s="9" t="s">
        <v>1941</v>
      </c>
      <c r="H248" s="8">
        <v>610510751</v>
      </c>
      <c r="I248" s="8">
        <v>14</v>
      </c>
      <c r="J248" s="8">
        <v>81</v>
      </c>
      <c r="K248" s="8">
        <v>200</v>
      </c>
      <c r="L248" s="9" t="s">
        <v>987</v>
      </c>
      <c r="M248" s="9" t="s">
        <v>993</v>
      </c>
      <c r="N248" s="8">
        <v>0</v>
      </c>
      <c r="O248" s="8">
        <v>194</v>
      </c>
      <c r="P248" s="8">
        <v>3</v>
      </c>
      <c r="Q248" s="8" t="str">
        <f>VLOOKUP(patient[[#This Row],[ID_mutuelle]],mutuelle[],2,FALSE)</f>
        <v>MUTUELLE INTERPROFESSIONNELLE DE PREVOYANCE</v>
      </c>
    </row>
    <row r="249" spans="1:17" x14ac:dyDescent="0.3">
      <c r="A249" s="8">
        <v>580</v>
      </c>
      <c r="B249" s="9" t="s">
        <v>1942</v>
      </c>
      <c r="C249" s="9" t="s">
        <v>1943</v>
      </c>
      <c r="D249" s="9" t="s">
        <v>1944</v>
      </c>
      <c r="E249" s="8">
        <v>91216</v>
      </c>
      <c r="F249" s="9" t="s">
        <v>109</v>
      </c>
      <c r="G249" s="9" t="s">
        <v>1945</v>
      </c>
      <c r="H249" s="8">
        <v>617734281</v>
      </c>
      <c r="I249" s="8">
        <v>56</v>
      </c>
      <c r="J249" s="8">
        <v>96</v>
      </c>
      <c r="K249" s="8">
        <v>112</v>
      </c>
      <c r="L249" s="9" t="s">
        <v>987</v>
      </c>
      <c r="M249" s="9" t="s">
        <v>988</v>
      </c>
      <c r="N249" s="8">
        <v>1</v>
      </c>
      <c r="O249" s="8">
        <v>249</v>
      </c>
      <c r="P249" s="8">
        <v>1</v>
      </c>
      <c r="Q249" s="8" t="str">
        <f>VLOOKUP(patient[[#This Row],[ID_mutuelle]],mutuelle[],2,FALSE)</f>
        <v>SOCIETE MUTUALISTE CHIRURGICALE ET COMPLEMENTAIRE DU PERSONNEL DE LA BANQUE DE FRANCE</v>
      </c>
    </row>
    <row r="250" spans="1:17" x14ac:dyDescent="0.3">
      <c r="A250" s="8">
        <v>581</v>
      </c>
      <c r="B250" s="9" t="s">
        <v>1946</v>
      </c>
      <c r="C250" s="9" t="s">
        <v>1947</v>
      </c>
      <c r="D250" s="9" t="s">
        <v>1948</v>
      </c>
      <c r="E250" s="8">
        <v>95220</v>
      </c>
      <c r="F250" s="9" t="s">
        <v>46</v>
      </c>
      <c r="G250" s="9" t="s">
        <v>1949</v>
      </c>
      <c r="H250" s="8">
        <v>624491754</v>
      </c>
      <c r="I250" s="8">
        <v>46</v>
      </c>
      <c r="J250" s="8">
        <v>112</v>
      </c>
      <c r="K250" s="8">
        <v>148</v>
      </c>
      <c r="L250" s="9" t="s">
        <v>982</v>
      </c>
      <c r="M250" s="9" t="s">
        <v>1032</v>
      </c>
      <c r="N250" s="8">
        <v>1</v>
      </c>
      <c r="O250" s="8">
        <v>49</v>
      </c>
      <c r="P250" s="8">
        <v>3</v>
      </c>
      <c r="Q250" s="8" t="str">
        <f>VLOOKUP(patient[[#This Row],[ID_mutuelle]],mutuelle[],2,FALSE)</f>
        <v>MALAKOFF HUMANIS NATIONALE</v>
      </c>
    </row>
    <row r="251" spans="1:17" x14ac:dyDescent="0.3">
      <c r="A251" s="8">
        <v>582</v>
      </c>
      <c r="B251" s="9" t="s">
        <v>1950</v>
      </c>
      <c r="C251" s="9" t="s">
        <v>1951</v>
      </c>
      <c r="D251" s="9" t="s">
        <v>1952</v>
      </c>
      <c r="E251" s="8">
        <v>94441</v>
      </c>
      <c r="F251" s="9" t="s">
        <v>340</v>
      </c>
      <c r="G251" s="9" t="s">
        <v>1953</v>
      </c>
      <c r="H251" s="8">
        <v>623769755</v>
      </c>
      <c r="I251" s="8">
        <v>25</v>
      </c>
      <c r="J251" s="8">
        <v>140</v>
      </c>
      <c r="K251" s="8">
        <v>140</v>
      </c>
      <c r="L251" s="9" t="s">
        <v>987</v>
      </c>
      <c r="M251" s="9" t="s">
        <v>993</v>
      </c>
      <c r="N251" s="8">
        <v>0</v>
      </c>
      <c r="O251" s="8">
        <v>240</v>
      </c>
      <c r="P251" s="8">
        <v>1</v>
      </c>
      <c r="Q251" s="8" t="str">
        <f>VLOOKUP(patient[[#This Row],[ID_mutuelle]],mutuelle[],2,FALSE)</f>
        <v>ORPHELINAT MUTUALISTE DE LA POLICE NATIONALE PREVOYANCE</v>
      </c>
    </row>
    <row r="252" spans="1:17" x14ac:dyDescent="0.3">
      <c r="A252" s="8">
        <v>583</v>
      </c>
      <c r="B252" s="9" t="s">
        <v>1830</v>
      </c>
      <c r="C252" s="9" t="s">
        <v>1954</v>
      </c>
      <c r="D252" s="9" t="s">
        <v>1955</v>
      </c>
      <c r="E252" s="8">
        <v>93765</v>
      </c>
      <c r="F252" s="9" t="s">
        <v>25</v>
      </c>
      <c r="G252" s="9" t="s">
        <v>1956</v>
      </c>
      <c r="H252" s="8">
        <v>633791815</v>
      </c>
      <c r="I252" s="8">
        <v>58</v>
      </c>
      <c r="J252" s="8">
        <v>142</v>
      </c>
      <c r="K252" s="8">
        <v>139</v>
      </c>
      <c r="L252" s="9" t="s">
        <v>987</v>
      </c>
      <c r="M252" s="9" t="s">
        <v>993</v>
      </c>
      <c r="N252" s="8">
        <v>0</v>
      </c>
      <c r="O252" s="8">
        <v>105</v>
      </c>
      <c r="P252" s="8">
        <v>2</v>
      </c>
      <c r="Q252" s="8" t="str">
        <f>VLOOKUP(patient[[#This Row],[ID_mutuelle]],mutuelle[],2,FALSE)</f>
        <v>MUTUELLE DE L'OISE DES AGENTS TERRITORIAUX</v>
      </c>
    </row>
    <row r="253" spans="1:17" x14ac:dyDescent="0.3">
      <c r="A253" s="8">
        <v>584</v>
      </c>
      <c r="B253" s="9" t="s">
        <v>1957</v>
      </c>
      <c r="C253" s="9" t="s">
        <v>1958</v>
      </c>
      <c r="D253" s="9" t="s">
        <v>1959</v>
      </c>
      <c r="E253" s="8">
        <v>75328</v>
      </c>
      <c r="F253" s="9" t="s">
        <v>194</v>
      </c>
      <c r="G253" s="9" t="s">
        <v>1960</v>
      </c>
      <c r="H253" s="8">
        <v>679025511</v>
      </c>
      <c r="I253" s="8">
        <v>88</v>
      </c>
      <c r="J253" s="8">
        <v>14</v>
      </c>
      <c r="K253" s="8">
        <v>199</v>
      </c>
      <c r="L253" s="9" t="s">
        <v>982</v>
      </c>
      <c r="M253" s="9" t="s">
        <v>988</v>
      </c>
      <c r="N253" s="8">
        <v>1</v>
      </c>
      <c r="O253" s="8">
        <v>184</v>
      </c>
      <c r="P253" s="8">
        <v>2</v>
      </c>
      <c r="Q253" s="8" t="str">
        <f>VLOOKUP(patient[[#This Row],[ID_mutuelle]],mutuelle[],2,FALSE)</f>
        <v>MUTUELLE GENERALE INTERPROFESSIONNELLE</v>
      </c>
    </row>
    <row r="254" spans="1:17" x14ac:dyDescent="0.3">
      <c r="A254" s="8">
        <v>585</v>
      </c>
      <c r="B254" s="9" t="s">
        <v>1961</v>
      </c>
      <c r="C254" s="9" t="s">
        <v>1962</v>
      </c>
      <c r="D254" s="9" t="s">
        <v>1963</v>
      </c>
      <c r="E254" s="8">
        <v>95107</v>
      </c>
      <c r="F254" s="9" t="s">
        <v>288</v>
      </c>
      <c r="G254" s="9" t="s">
        <v>1964</v>
      </c>
      <c r="H254" s="8">
        <v>687228538</v>
      </c>
      <c r="I254" s="8">
        <v>74</v>
      </c>
      <c r="J254" s="8">
        <v>63</v>
      </c>
      <c r="K254" s="8">
        <v>95</v>
      </c>
      <c r="L254" s="9" t="s">
        <v>987</v>
      </c>
      <c r="M254" s="9" t="s">
        <v>1077</v>
      </c>
      <c r="N254" s="8">
        <v>0</v>
      </c>
      <c r="O254" s="8">
        <v>268</v>
      </c>
      <c r="P254" s="8">
        <v>2</v>
      </c>
      <c r="Q254" s="8" t="str">
        <f>VLOOKUP(patient[[#This Row],[ID_mutuelle]],mutuelle[],2,FALSE)</f>
        <v>UNION MUTUALISTE RETRAITE</v>
      </c>
    </row>
    <row r="255" spans="1:17" x14ac:dyDescent="0.3">
      <c r="A255" s="8">
        <v>586</v>
      </c>
      <c r="B255" s="9" t="s">
        <v>1965</v>
      </c>
      <c r="C255" s="9" t="s">
        <v>1966</v>
      </c>
      <c r="D255" s="9" t="s">
        <v>1967</v>
      </c>
      <c r="E255" s="8">
        <v>75119</v>
      </c>
      <c r="F255" s="9" t="s">
        <v>213</v>
      </c>
      <c r="G255" s="9" t="s">
        <v>1968</v>
      </c>
      <c r="H255" s="8">
        <v>664345918</v>
      </c>
      <c r="I255" s="8">
        <v>79</v>
      </c>
      <c r="J255" s="8">
        <v>105</v>
      </c>
      <c r="K255" s="8">
        <v>165</v>
      </c>
      <c r="L255" s="9" t="s">
        <v>987</v>
      </c>
      <c r="M255" s="9" t="s">
        <v>1077</v>
      </c>
      <c r="N255" s="8">
        <v>0</v>
      </c>
      <c r="O255" s="8">
        <v>151</v>
      </c>
      <c r="P255" s="8">
        <v>3</v>
      </c>
      <c r="Q255" s="8" t="str">
        <f>VLOOKUP(patient[[#This Row],[ID_mutuelle]],mutuelle[],2,FALSE)</f>
        <v>MUTUELLE DU GROUPE BNP PARIBAS</v>
      </c>
    </row>
    <row r="256" spans="1:17" x14ac:dyDescent="0.3">
      <c r="A256" s="8">
        <v>587</v>
      </c>
      <c r="B256" s="9" t="s">
        <v>1969</v>
      </c>
      <c r="C256" s="9" t="s">
        <v>1970</v>
      </c>
      <c r="D256" s="9" t="s">
        <v>1971</v>
      </c>
      <c r="E256" s="8">
        <v>91691</v>
      </c>
      <c r="F256" s="9" t="s">
        <v>168</v>
      </c>
      <c r="G256" s="9" t="s">
        <v>1972</v>
      </c>
      <c r="H256" s="8">
        <v>699963556</v>
      </c>
      <c r="I256" s="8">
        <v>101</v>
      </c>
      <c r="J256" s="8">
        <v>55</v>
      </c>
      <c r="K256" s="8">
        <v>224</v>
      </c>
      <c r="L256" s="9" t="s">
        <v>987</v>
      </c>
      <c r="M256" s="9" t="s">
        <v>1015</v>
      </c>
      <c r="N256" s="8">
        <v>1</v>
      </c>
      <c r="O256" s="8">
        <v>20</v>
      </c>
      <c r="P256" s="8">
        <v>3</v>
      </c>
      <c r="Q256" s="8" t="str">
        <f>VLOOKUP(patient[[#This Row],[ID_mutuelle]],mutuelle[],2,FALSE)</f>
        <v>ENERGIE MUTUELLE</v>
      </c>
    </row>
    <row r="257" spans="1:17" x14ac:dyDescent="0.3">
      <c r="A257" s="8">
        <v>588</v>
      </c>
      <c r="B257" s="9" t="s">
        <v>1973</v>
      </c>
      <c r="C257" s="9" t="s">
        <v>1974</v>
      </c>
      <c r="D257" s="9" t="s">
        <v>1975</v>
      </c>
      <c r="E257" s="8">
        <v>93288</v>
      </c>
      <c r="F257" s="9" t="s">
        <v>65</v>
      </c>
      <c r="G257" s="9" t="s">
        <v>1976</v>
      </c>
      <c r="H257" s="8">
        <v>672774458</v>
      </c>
      <c r="I257" s="8">
        <v>75</v>
      </c>
      <c r="J257" s="8">
        <v>32</v>
      </c>
      <c r="K257" s="8">
        <v>223</v>
      </c>
      <c r="L257" s="9" t="s">
        <v>987</v>
      </c>
      <c r="M257" s="9" t="s">
        <v>1032</v>
      </c>
      <c r="N257" s="8">
        <v>1</v>
      </c>
      <c r="O257" s="8">
        <v>202</v>
      </c>
      <c r="P257" s="8">
        <v>2</v>
      </c>
      <c r="Q257" s="8" t="str">
        <f>VLOOKUP(patient[[#This Row],[ID_mutuelle]],mutuelle[],2,FALSE)</f>
        <v>MUTUELLE MALAKOFF HUMANIS</v>
      </c>
    </row>
    <row r="258" spans="1:17" x14ac:dyDescent="0.3">
      <c r="A258" s="8">
        <v>589</v>
      </c>
      <c r="B258" s="9" t="s">
        <v>1977</v>
      </c>
      <c r="C258" s="9" t="s">
        <v>1978</v>
      </c>
      <c r="D258" s="9" t="s">
        <v>1979</v>
      </c>
      <c r="E258" s="8">
        <v>92179</v>
      </c>
      <c r="F258" s="9" t="s">
        <v>368</v>
      </c>
      <c r="G258" s="9" t="s">
        <v>1980</v>
      </c>
      <c r="H258" s="8">
        <v>688424392</v>
      </c>
      <c r="I258" s="8">
        <v>102</v>
      </c>
      <c r="J258" s="8">
        <v>30</v>
      </c>
      <c r="K258" s="8">
        <v>95</v>
      </c>
      <c r="L258" s="9" t="s">
        <v>987</v>
      </c>
      <c r="M258" s="9" t="s">
        <v>1015</v>
      </c>
      <c r="N258" s="8">
        <v>1</v>
      </c>
      <c r="O258" s="8">
        <v>50</v>
      </c>
      <c r="P258" s="8">
        <v>3</v>
      </c>
      <c r="Q258" s="8" t="str">
        <f>VLOOKUP(patient[[#This Row],[ID_mutuelle]],mutuelle[],2,FALSE)</f>
        <v>MATMUT MUTUALITE</v>
      </c>
    </row>
    <row r="259" spans="1:17" x14ac:dyDescent="0.3">
      <c r="A259" s="8">
        <v>590</v>
      </c>
      <c r="B259" s="9" t="s">
        <v>1981</v>
      </c>
      <c r="C259" s="9" t="s">
        <v>1982</v>
      </c>
      <c r="D259" s="9" t="s">
        <v>1983</v>
      </c>
      <c r="E259" s="8">
        <v>94574</v>
      </c>
      <c r="F259" s="9" t="s">
        <v>168</v>
      </c>
      <c r="G259" s="9" t="s">
        <v>1984</v>
      </c>
      <c r="H259" s="8">
        <v>629871748</v>
      </c>
      <c r="I259" s="8">
        <v>36</v>
      </c>
      <c r="J259" s="8">
        <v>129</v>
      </c>
      <c r="K259" s="8">
        <v>170</v>
      </c>
      <c r="L259" s="9" t="s">
        <v>982</v>
      </c>
      <c r="M259" s="9" t="s">
        <v>993</v>
      </c>
      <c r="N259" s="8">
        <v>1</v>
      </c>
      <c r="O259" s="8">
        <v>42</v>
      </c>
      <c r="P259" s="8">
        <v>3</v>
      </c>
      <c r="Q259" s="8" t="str">
        <f>VLOOKUP(patient[[#This Row],[ID_mutuelle]],mutuelle[],2,FALSE)</f>
        <v>LA PREVOYANCE ARTISANALE COMMERCIALE ET SALARIALE</v>
      </c>
    </row>
    <row r="260" spans="1:17" x14ac:dyDescent="0.3">
      <c r="A260" s="8">
        <v>591</v>
      </c>
      <c r="B260" s="9" t="s">
        <v>1985</v>
      </c>
      <c r="C260" s="9" t="s">
        <v>1986</v>
      </c>
      <c r="D260" s="9" t="s">
        <v>1987</v>
      </c>
      <c r="E260" s="8">
        <v>92915</v>
      </c>
      <c r="F260" s="9" t="s">
        <v>218</v>
      </c>
      <c r="G260" s="9" t="s">
        <v>1988</v>
      </c>
      <c r="H260" s="8">
        <v>696377606</v>
      </c>
      <c r="I260" s="8">
        <v>83</v>
      </c>
      <c r="J260" s="8">
        <v>44</v>
      </c>
      <c r="K260" s="8">
        <v>195</v>
      </c>
      <c r="L260" s="9" t="s">
        <v>987</v>
      </c>
      <c r="M260" s="9" t="s">
        <v>993</v>
      </c>
      <c r="N260" s="8">
        <v>0</v>
      </c>
      <c r="O260" s="8">
        <v>81</v>
      </c>
      <c r="P260" s="8">
        <v>2</v>
      </c>
      <c r="Q260" s="8" t="str">
        <f>VLOOKUP(patient[[#This Row],[ID_mutuelle]],mutuelle[],2,FALSE)</f>
        <v>MUTUELLE CNM</v>
      </c>
    </row>
    <row r="261" spans="1:17" x14ac:dyDescent="0.3">
      <c r="A261" s="8">
        <v>592</v>
      </c>
      <c r="B261" s="9" t="s">
        <v>1989</v>
      </c>
      <c r="C261" s="9" t="s">
        <v>1990</v>
      </c>
      <c r="D261" s="9" t="s">
        <v>1991</v>
      </c>
      <c r="E261" s="8">
        <v>94927</v>
      </c>
      <c r="F261" s="9" t="s">
        <v>162</v>
      </c>
      <c r="G261" s="9" t="s">
        <v>1992</v>
      </c>
      <c r="H261" s="8">
        <v>623439227</v>
      </c>
      <c r="I261" s="8">
        <v>80</v>
      </c>
      <c r="J261" s="8">
        <v>49</v>
      </c>
      <c r="K261" s="8">
        <v>100</v>
      </c>
      <c r="L261" s="9" t="s">
        <v>987</v>
      </c>
      <c r="M261" s="9" t="s">
        <v>993</v>
      </c>
      <c r="N261" s="8">
        <v>0</v>
      </c>
      <c r="O261" s="8">
        <v>142</v>
      </c>
      <c r="P261" s="8">
        <v>1</v>
      </c>
      <c r="Q261" s="8" t="str">
        <f>VLOOKUP(patient[[#This Row],[ID_mutuelle]],mutuelle[],2,FALSE)</f>
        <v>MUTUELLE DES SPORTIFS</v>
      </c>
    </row>
    <row r="262" spans="1:17" x14ac:dyDescent="0.3">
      <c r="A262" s="8">
        <v>593</v>
      </c>
      <c r="B262" s="9" t="s">
        <v>1993</v>
      </c>
      <c r="C262" s="9" t="s">
        <v>1994</v>
      </c>
      <c r="D262" s="9" t="s">
        <v>1995</v>
      </c>
      <c r="E262" s="8">
        <v>95228</v>
      </c>
      <c r="F262" s="9" t="s">
        <v>65</v>
      </c>
      <c r="G262" s="9" t="s">
        <v>1996</v>
      </c>
      <c r="H262" s="8">
        <v>667291296</v>
      </c>
      <c r="I262" s="8">
        <v>1</v>
      </c>
      <c r="J262" s="8">
        <v>38</v>
      </c>
      <c r="K262" s="8">
        <v>165</v>
      </c>
      <c r="L262" s="9" t="s">
        <v>982</v>
      </c>
      <c r="M262" s="9" t="s">
        <v>1015</v>
      </c>
      <c r="N262" s="8">
        <v>1</v>
      </c>
      <c r="O262" s="8">
        <v>200</v>
      </c>
      <c r="P262" s="8">
        <v>2</v>
      </c>
      <c r="Q262" s="8" t="str">
        <f>VLOOKUP(patient[[#This Row],[ID_mutuelle]],mutuelle[],2,FALSE)</f>
        <v>MUTUELLE LES MENAGES PREVOYANTS</v>
      </c>
    </row>
    <row r="263" spans="1:17" x14ac:dyDescent="0.3">
      <c r="A263" s="8">
        <v>594</v>
      </c>
      <c r="B263" s="9" t="s">
        <v>1997</v>
      </c>
      <c r="C263" s="9" t="s">
        <v>1998</v>
      </c>
      <c r="D263" s="9" t="s">
        <v>1999</v>
      </c>
      <c r="E263" s="8">
        <v>93724</v>
      </c>
      <c r="F263" s="9" t="s">
        <v>25</v>
      </c>
      <c r="G263" s="9" t="s">
        <v>2000</v>
      </c>
      <c r="H263" s="8">
        <v>653686731</v>
      </c>
      <c r="I263" s="8">
        <v>10</v>
      </c>
      <c r="J263" s="8">
        <v>79</v>
      </c>
      <c r="K263" s="8">
        <v>100</v>
      </c>
      <c r="L263" s="9" t="s">
        <v>987</v>
      </c>
      <c r="M263" s="9" t="s">
        <v>1015</v>
      </c>
      <c r="N263" s="8">
        <v>0</v>
      </c>
      <c r="O263" s="8">
        <v>61</v>
      </c>
      <c r="P263" s="8">
        <v>3</v>
      </c>
      <c r="Q263" s="8" t="str">
        <f>VLOOKUP(patient[[#This Row],[ID_mutuelle]],mutuelle[],2,FALSE)</f>
        <v>MUTAC</v>
      </c>
    </row>
    <row r="264" spans="1:17" x14ac:dyDescent="0.3">
      <c r="A264" s="8">
        <v>595</v>
      </c>
      <c r="B264" s="9" t="s">
        <v>2001</v>
      </c>
      <c r="C264" s="9" t="s">
        <v>2002</v>
      </c>
      <c r="D264" s="9" t="s">
        <v>2003</v>
      </c>
      <c r="E264" s="8">
        <v>93709</v>
      </c>
      <c r="F264" s="9" t="s">
        <v>288</v>
      </c>
      <c r="G264" s="9" t="s">
        <v>2004</v>
      </c>
      <c r="H264" s="8">
        <v>693979593</v>
      </c>
      <c r="I264" s="8">
        <v>79</v>
      </c>
      <c r="J264" s="8">
        <v>7</v>
      </c>
      <c r="K264" s="8">
        <v>174</v>
      </c>
      <c r="L264" s="9" t="s">
        <v>987</v>
      </c>
      <c r="M264" s="9" t="s">
        <v>993</v>
      </c>
      <c r="N264" s="8">
        <v>0</v>
      </c>
      <c r="O264" s="8">
        <v>67</v>
      </c>
      <c r="P264" s="8">
        <v>2</v>
      </c>
      <c r="Q264" s="8" t="str">
        <f>VLOOKUP(patient[[#This Row],[ID_mutuelle]],mutuelle[],2,FALSE)</f>
        <v>MUTEST</v>
      </c>
    </row>
    <row r="265" spans="1:17" x14ac:dyDescent="0.3">
      <c r="A265" s="8">
        <v>596</v>
      </c>
      <c r="B265" s="9" t="s">
        <v>2005</v>
      </c>
      <c r="C265" s="9" t="s">
        <v>2006</v>
      </c>
      <c r="D265" s="9" t="s">
        <v>2007</v>
      </c>
      <c r="E265" s="8">
        <v>92757</v>
      </c>
      <c r="F265" s="9" t="s">
        <v>65</v>
      </c>
      <c r="G265" s="9" t="s">
        <v>2008</v>
      </c>
      <c r="H265" s="8">
        <v>623408162</v>
      </c>
      <c r="I265" s="8">
        <v>79</v>
      </c>
      <c r="J265" s="8">
        <v>120</v>
      </c>
      <c r="K265" s="8">
        <v>162</v>
      </c>
      <c r="L265" s="9" t="s">
        <v>982</v>
      </c>
      <c r="M265" s="9" t="s">
        <v>993</v>
      </c>
      <c r="N265" s="8">
        <v>0</v>
      </c>
      <c r="O265" s="8">
        <v>157</v>
      </c>
      <c r="P265" s="8">
        <v>3</v>
      </c>
      <c r="Q265" s="8" t="str">
        <f>VLOOKUP(patient[[#This Row],[ID_mutuelle]],mutuelle[],2,FALSE)</f>
        <v>MUTUELLE DU PERSONNEL DES COLLECTIVITES TERRITORIALE DE LA REUNION</v>
      </c>
    </row>
    <row r="266" spans="1:17" x14ac:dyDescent="0.3">
      <c r="A266" s="8">
        <v>597</v>
      </c>
      <c r="B266" s="9" t="s">
        <v>2009</v>
      </c>
      <c r="C266" s="9" t="s">
        <v>2010</v>
      </c>
      <c r="D266" s="9" t="s">
        <v>2011</v>
      </c>
      <c r="E266" s="8">
        <v>94108</v>
      </c>
      <c r="F266" s="9" t="s">
        <v>582</v>
      </c>
      <c r="G266" s="9" t="s">
        <v>2012</v>
      </c>
      <c r="H266" s="8">
        <v>625686818</v>
      </c>
      <c r="I266" s="8">
        <v>54</v>
      </c>
      <c r="J266" s="8">
        <v>34</v>
      </c>
      <c r="K266" s="8">
        <v>170</v>
      </c>
      <c r="L266" s="9" t="s">
        <v>987</v>
      </c>
      <c r="M266" s="9" t="s">
        <v>993</v>
      </c>
      <c r="N266" s="8">
        <v>1</v>
      </c>
      <c r="O266" s="8">
        <v>104</v>
      </c>
      <c r="P266" s="8">
        <v>1</v>
      </c>
      <c r="Q266" s="8" t="str">
        <f>VLOOKUP(patient[[#This Row],[ID_mutuelle]],mutuelle[],2,FALSE)</f>
        <v>MUTUELLE DE L'IRSID</v>
      </c>
    </row>
    <row r="267" spans="1:17" x14ac:dyDescent="0.3">
      <c r="A267" s="8">
        <v>598</v>
      </c>
      <c r="B267" s="9" t="s">
        <v>2013</v>
      </c>
      <c r="C267" s="9" t="s">
        <v>2014</v>
      </c>
      <c r="D267" s="9" t="s">
        <v>2015</v>
      </c>
      <c r="E267" s="8">
        <v>93934</v>
      </c>
      <c r="F267" s="9" t="s">
        <v>582</v>
      </c>
      <c r="G267" s="9" t="s">
        <v>2016</v>
      </c>
      <c r="H267" s="8">
        <v>657462634</v>
      </c>
      <c r="I267" s="8">
        <v>6</v>
      </c>
      <c r="J267" s="8">
        <v>112</v>
      </c>
      <c r="K267" s="8">
        <v>197</v>
      </c>
      <c r="L267" s="9" t="s">
        <v>987</v>
      </c>
      <c r="M267" s="9" t="s">
        <v>1015</v>
      </c>
      <c r="N267" s="8">
        <v>1</v>
      </c>
      <c r="O267" s="8">
        <v>201</v>
      </c>
      <c r="P267" s="8">
        <v>1</v>
      </c>
      <c r="Q267" s="8" t="str">
        <f>VLOOKUP(patient[[#This Row],[ID_mutuelle]],mutuelle[],2,FALSE)</f>
        <v>MUTUELLE MAE</v>
      </c>
    </row>
    <row r="268" spans="1:17" x14ac:dyDescent="0.3">
      <c r="A268" s="8">
        <v>599</v>
      </c>
      <c r="B268" s="9" t="s">
        <v>2017</v>
      </c>
      <c r="C268" s="9" t="s">
        <v>2018</v>
      </c>
      <c r="D268" s="9" t="s">
        <v>2019</v>
      </c>
      <c r="E268" s="8">
        <v>95669</v>
      </c>
      <c r="F268" s="9" t="s">
        <v>368</v>
      </c>
      <c r="G268" s="9" t="s">
        <v>2020</v>
      </c>
      <c r="H268" s="8">
        <v>684800305</v>
      </c>
      <c r="I268" s="8">
        <v>68</v>
      </c>
      <c r="J268" s="8">
        <v>140</v>
      </c>
      <c r="K268" s="8">
        <v>217</v>
      </c>
      <c r="L268" s="9" t="s">
        <v>987</v>
      </c>
      <c r="M268" s="9" t="s">
        <v>1045</v>
      </c>
      <c r="N268" s="8">
        <v>0</v>
      </c>
      <c r="O268" s="8">
        <v>195</v>
      </c>
      <c r="P268" s="8">
        <v>2</v>
      </c>
      <c r="Q268" s="8" t="str">
        <f>VLOOKUP(patient[[#This Row],[ID_mutuelle]],mutuelle[],2,FALSE)</f>
        <v>MUTUELLE KEOLIS RENNES</v>
      </c>
    </row>
    <row r="269" spans="1:17" x14ac:dyDescent="0.3">
      <c r="A269" s="8">
        <v>600</v>
      </c>
      <c r="B269" s="9" t="s">
        <v>2021</v>
      </c>
      <c r="C269" s="9" t="s">
        <v>2022</v>
      </c>
      <c r="D269" s="9" t="s">
        <v>2023</v>
      </c>
      <c r="E269" s="8">
        <v>75292</v>
      </c>
      <c r="F269" s="9" t="s">
        <v>25</v>
      </c>
      <c r="G269" s="9" t="s">
        <v>2024</v>
      </c>
      <c r="H269" s="8">
        <v>683028056</v>
      </c>
      <c r="I269" s="8">
        <v>101</v>
      </c>
      <c r="J269" s="8">
        <v>33</v>
      </c>
      <c r="K269" s="8">
        <v>194</v>
      </c>
      <c r="L269" s="9" t="s">
        <v>982</v>
      </c>
      <c r="M269" s="9" t="s">
        <v>1032</v>
      </c>
      <c r="N269" s="8">
        <v>1</v>
      </c>
      <c r="O269" s="8">
        <v>124</v>
      </c>
      <c r="P269" s="8">
        <v>3</v>
      </c>
      <c r="Q269" s="8" t="str">
        <f>VLOOKUP(patient[[#This Row],[ID_mutuelle]],mutuelle[],2,FALSE)</f>
        <v>MUTUELLE DES EMPLOYES TERRITORIAUX DE SAINT RAPHAEL</v>
      </c>
    </row>
    <row r="270" spans="1:17" x14ac:dyDescent="0.3">
      <c r="A270" s="8">
        <v>601</v>
      </c>
      <c r="B270" s="9" t="s">
        <v>2025</v>
      </c>
      <c r="C270" s="9" t="s">
        <v>2026</v>
      </c>
      <c r="D270" s="9" t="s">
        <v>2027</v>
      </c>
      <c r="E270" s="8">
        <v>93544</v>
      </c>
      <c r="F270" s="9" t="s">
        <v>582</v>
      </c>
      <c r="G270" s="9" t="s">
        <v>2028</v>
      </c>
      <c r="H270" s="8">
        <v>660538455</v>
      </c>
      <c r="I270" s="8">
        <v>80</v>
      </c>
      <c r="J270" s="8">
        <v>42</v>
      </c>
      <c r="K270" s="8">
        <v>169</v>
      </c>
      <c r="L270" s="9" t="s">
        <v>982</v>
      </c>
      <c r="M270" s="9" t="s">
        <v>998</v>
      </c>
      <c r="N270" s="8">
        <v>1</v>
      </c>
      <c r="O270" s="8">
        <v>193</v>
      </c>
      <c r="P270" s="8">
        <v>3</v>
      </c>
      <c r="Q270" s="8" t="str">
        <f>VLOOKUP(patient[[#This Row],[ID_mutuelle]],mutuelle[],2,FALSE)</f>
        <v>MUTUELLE INTERPROFESSIONNELLE DE LA REGION SUD EST DE PARIS</v>
      </c>
    </row>
    <row r="271" spans="1:17" x14ac:dyDescent="0.3">
      <c r="A271" s="8">
        <v>602</v>
      </c>
      <c r="B271" s="9" t="s">
        <v>2029</v>
      </c>
      <c r="C271" s="9" t="s">
        <v>2030</v>
      </c>
      <c r="D271" s="9" t="s">
        <v>2031</v>
      </c>
      <c r="E271" s="8">
        <v>95679</v>
      </c>
      <c r="F271" s="9" t="s">
        <v>194</v>
      </c>
      <c r="G271" s="9" t="s">
        <v>2032</v>
      </c>
      <c r="H271" s="8">
        <v>665725380</v>
      </c>
      <c r="I271" s="8">
        <v>48</v>
      </c>
      <c r="J271" s="8">
        <v>25</v>
      </c>
      <c r="K271" s="8">
        <v>97</v>
      </c>
      <c r="L271" s="9" t="s">
        <v>982</v>
      </c>
      <c r="M271" s="9" t="s">
        <v>993</v>
      </c>
      <c r="N271" s="8">
        <v>1</v>
      </c>
      <c r="O271" s="8">
        <v>249</v>
      </c>
      <c r="P271" s="8">
        <v>1</v>
      </c>
      <c r="Q271" s="8" t="str">
        <f>VLOOKUP(patient[[#This Row],[ID_mutuelle]],mutuelle[],2,FALSE)</f>
        <v>SOCIETE MUTUALISTE CHIRURGICALE ET COMPLEMENTAIRE DU PERSONNEL DE LA BANQUE DE FRANCE</v>
      </c>
    </row>
    <row r="272" spans="1:17" x14ac:dyDescent="0.3">
      <c r="A272" s="8">
        <v>603</v>
      </c>
      <c r="B272" s="9" t="s">
        <v>455</v>
      </c>
      <c r="C272" s="9" t="s">
        <v>2033</v>
      </c>
      <c r="D272" s="9" t="s">
        <v>2034</v>
      </c>
      <c r="E272" s="8">
        <v>95428</v>
      </c>
      <c r="F272" s="9" t="s">
        <v>213</v>
      </c>
      <c r="G272" s="9" t="s">
        <v>2035</v>
      </c>
      <c r="H272" s="8">
        <v>637851507</v>
      </c>
      <c r="I272" s="8">
        <v>47</v>
      </c>
      <c r="J272" s="8">
        <v>59</v>
      </c>
      <c r="K272" s="8">
        <v>193</v>
      </c>
      <c r="L272" s="9" t="s">
        <v>987</v>
      </c>
      <c r="M272" s="9" t="s">
        <v>1032</v>
      </c>
      <c r="N272" s="8">
        <v>1</v>
      </c>
      <c r="O272" s="8">
        <v>95</v>
      </c>
      <c r="P272" s="8">
        <v>1</v>
      </c>
      <c r="Q272" s="8" t="str">
        <f>VLOOKUP(patient[[#This Row],[ID_mutuelle]],mutuelle[],2,FALSE)</f>
        <v>MUTUELLE DE FRANCE ALPES DU SUD</v>
      </c>
    </row>
    <row r="273" spans="1:17" x14ac:dyDescent="0.3">
      <c r="A273" s="8">
        <v>604</v>
      </c>
      <c r="B273" s="9" t="s">
        <v>2036</v>
      </c>
      <c r="C273" s="9" t="s">
        <v>2037</v>
      </c>
      <c r="D273" s="9" t="s">
        <v>2038</v>
      </c>
      <c r="E273" s="8">
        <v>93902</v>
      </c>
      <c r="F273" s="9" t="s">
        <v>109</v>
      </c>
      <c r="G273" s="9" t="s">
        <v>2039</v>
      </c>
      <c r="H273" s="8">
        <v>677527720</v>
      </c>
      <c r="I273" s="8">
        <v>55</v>
      </c>
      <c r="J273" s="8">
        <v>118</v>
      </c>
      <c r="K273" s="8">
        <v>184</v>
      </c>
      <c r="L273" s="9" t="s">
        <v>987</v>
      </c>
      <c r="M273" s="9" t="s">
        <v>993</v>
      </c>
      <c r="N273" s="8">
        <v>0</v>
      </c>
      <c r="O273" s="8">
        <v>12</v>
      </c>
      <c r="P273" s="8">
        <v>2</v>
      </c>
      <c r="Q273" s="8" t="str">
        <f>VLOOKUP(patient[[#This Row],[ID_mutuelle]],mutuelle[],2,FALSE)</f>
        <v>BANQUE POPULAIRE MUTUALITE</v>
      </c>
    </row>
    <row r="274" spans="1:17" x14ac:dyDescent="0.3">
      <c r="A274" s="8">
        <v>605</v>
      </c>
      <c r="B274" s="9" t="s">
        <v>2040</v>
      </c>
      <c r="C274" s="9" t="s">
        <v>2041</v>
      </c>
      <c r="D274" s="9" t="s">
        <v>2042</v>
      </c>
      <c r="E274" s="8">
        <v>94606</v>
      </c>
      <c r="F274" s="9" t="s">
        <v>340</v>
      </c>
      <c r="G274" s="9" t="s">
        <v>2043</v>
      </c>
      <c r="H274" s="8">
        <v>618009957</v>
      </c>
      <c r="I274" s="8">
        <v>41</v>
      </c>
      <c r="J274" s="8">
        <v>67</v>
      </c>
      <c r="K274" s="8">
        <v>202</v>
      </c>
      <c r="L274" s="9" t="s">
        <v>987</v>
      </c>
      <c r="M274" s="9" t="s">
        <v>993</v>
      </c>
      <c r="N274" s="8">
        <v>0</v>
      </c>
      <c r="O274" s="8">
        <v>3</v>
      </c>
      <c r="P274" s="8">
        <v>3</v>
      </c>
      <c r="Q274" s="8" t="str">
        <f>VLOOKUP(patient[[#This Row],[ID_mutuelle]],mutuelle[],2,FALSE)</f>
        <v>ALLIANCE DES MUTUALISTES DU TRANSPORT ET DU SECTEUR SOCIAL - ALMUTRA</v>
      </c>
    </row>
    <row r="275" spans="1:17" x14ac:dyDescent="0.3">
      <c r="A275" s="8">
        <v>606</v>
      </c>
      <c r="B275" s="9" t="s">
        <v>2044</v>
      </c>
      <c r="C275" s="9" t="s">
        <v>370</v>
      </c>
      <c r="D275" s="9" t="s">
        <v>2045</v>
      </c>
      <c r="E275" s="8">
        <v>93487</v>
      </c>
      <c r="F275" s="9" t="s">
        <v>46</v>
      </c>
      <c r="G275" s="9" t="s">
        <v>2046</v>
      </c>
      <c r="H275" s="8">
        <v>649716756</v>
      </c>
      <c r="I275" s="8">
        <v>1</v>
      </c>
      <c r="J275" s="8">
        <v>126</v>
      </c>
      <c r="K275" s="8">
        <v>130</v>
      </c>
      <c r="L275" s="9" t="s">
        <v>982</v>
      </c>
      <c r="M275" s="9" t="s">
        <v>993</v>
      </c>
      <c r="N275" s="8">
        <v>0</v>
      </c>
      <c r="O275" s="8">
        <v>246</v>
      </c>
      <c r="P275" s="8">
        <v>3</v>
      </c>
      <c r="Q275" s="8" t="str">
        <f>VLOOKUP(patient[[#This Row],[ID_mutuelle]],mutuelle[],2,FALSE)</f>
        <v>SO'LYON MUTUELLE</v>
      </c>
    </row>
    <row r="276" spans="1:17" x14ac:dyDescent="0.3">
      <c r="A276" s="8">
        <v>607</v>
      </c>
      <c r="B276" s="9" t="s">
        <v>2047</v>
      </c>
      <c r="C276" s="9" t="s">
        <v>2048</v>
      </c>
      <c r="D276" s="9" t="s">
        <v>2049</v>
      </c>
      <c r="E276" s="8">
        <v>94418</v>
      </c>
      <c r="F276" s="9" t="s">
        <v>109</v>
      </c>
      <c r="G276" s="9" t="s">
        <v>2050</v>
      </c>
      <c r="H276" s="8">
        <v>638887589</v>
      </c>
      <c r="I276" s="8">
        <v>91</v>
      </c>
      <c r="J276" s="8">
        <v>130</v>
      </c>
      <c r="K276" s="8">
        <v>171</v>
      </c>
      <c r="L276" s="9" t="s">
        <v>982</v>
      </c>
      <c r="M276" s="9" t="s">
        <v>1045</v>
      </c>
      <c r="N276" s="8">
        <v>1</v>
      </c>
      <c r="O276" s="8">
        <v>121</v>
      </c>
      <c r="P276" s="8">
        <v>3</v>
      </c>
      <c r="Q276" s="8" t="str">
        <f>VLOOKUP(patient[[#This Row],[ID_mutuelle]],mutuelle[],2,FALSE)</f>
        <v>MUTUELLE DES CHEMINOTS DE LA REGION DE NANTES</v>
      </c>
    </row>
    <row r="277" spans="1:17" x14ac:dyDescent="0.3">
      <c r="A277" s="8">
        <v>608</v>
      </c>
      <c r="B277" s="9" t="s">
        <v>2051</v>
      </c>
      <c r="C277" s="9" t="s">
        <v>2052</v>
      </c>
      <c r="D277" s="9" t="s">
        <v>2053</v>
      </c>
      <c r="E277" s="8">
        <v>94506</v>
      </c>
      <c r="F277" s="9" t="s">
        <v>109</v>
      </c>
      <c r="G277" s="9" t="s">
        <v>2054</v>
      </c>
      <c r="H277" s="8">
        <v>628885395</v>
      </c>
      <c r="I277" s="8">
        <v>7</v>
      </c>
      <c r="J277" s="8">
        <v>55</v>
      </c>
      <c r="K277" s="8">
        <v>207</v>
      </c>
      <c r="L277" s="9" t="s">
        <v>987</v>
      </c>
      <c r="M277" s="9" t="s">
        <v>993</v>
      </c>
      <c r="N277" s="8">
        <v>1</v>
      </c>
      <c r="O277" s="8">
        <v>197</v>
      </c>
      <c r="P277" s="8">
        <v>3</v>
      </c>
      <c r="Q277" s="8" t="str">
        <f>VLOOKUP(patient[[#This Row],[ID_mutuelle]],mutuelle[],2,FALSE)</f>
        <v>MUTUELLE LA FRANCE MARITIME</v>
      </c>
    </row>
    <row r="278" spans="1:17" x14ac:dyDescent="0.3">
      <c r="A278" s="8">
        <v>609</v>
      </c>
      <c r="B278" s="9" t="s">
        <v>2055</v>
      </c>
      <c r="C278" s="9" t="s">
        <v>2056</v>
      </c>
      <c r="D278" s="9" t="s">
        <v>782</v>
      </c>
      <c r="E278" s="8">
        <v>78815</v>
      </c>
      <c r="F278" s="9" t="s">
        <v>582</v>
      </c>
      <c r="G278" s="9" t="s">
        <v>2057</v>
      </c>
      <c r="H278" s="8">
        <v>696875938</v>
      </c>
      <c r="I278" s="8">
        <v>104</v>
      </c>
      <c r="J278" s="8">
        <v>98</v>
      </c>
      <c r="K278" s="8">
        <v>157</v>
      </c>
      <c r="L278" s="9" t="s">
        <v>982</v>
      </c>
      <c r="M278" s="9" t="s">
        <v>998</v>
      </c>
      <c r="N278" s="8">
        <v>0</v>
      </c>
      <c r="O278" s="8">
        <v>105</v>
      </c>
      <c r="P278" s="8">
        <v>2</v>
      </c>
      <c r="Q278" s="8" t="str">
        <f>VLOOKUP(patient[[#This Row],[ID_mutuelle]],mutuelle[],2,FALSE)</f>
        <v>MUTUELLE DE L'OISE DES AGENTS TERRITORIAUX</v>
      </c>
    </row>
    <row r="279" spans="1:17" x14ac:dyDescent="0.3">
      <c r="A279" s="8">
        <v>610</v>
      </c>
      <c r="B279" s="9" t="s">
        <v>2058</v>
      </c>
      <c r="C279" s="9" t="s">
        <v>1915</v>
      </c>
      <c r="D279" s="9" t="s">
        <v>2059</v>
      </c>
      <c r="E279" s="8">
        <v>95858</v>
      </c>
      <c r="F279" s="9" t="s">
        <v>32</v>
      </c>
      <c r="G279" s="9" t="s">
        <v>2060</v>
      </c>
      <c r="H279" s="8">
        <v>646308284</v>
      </c>
      <c r="I279" s="8">
        <v>43</v>
      </c>
      <c r="J279" s="8">
        <v>143</v>
      </c>
      <c r="K279" s="8">
        <v>205</v>
      </c>
      <c r="L279" s="9" t="s">
        <v>982</v>
      </c>
      <c r="M279" s="9" t="s">
        <v>1045</v>
      </c>
      <c r="N279" s="8">
        <v>0</v>
      </c>
      <c r="O279" s="8">
        <v>174</v>
      </c>
      <c r="P279" s="8">
        <v>1</v>
      </c>
      <c r="Q279" s="8" t="str">
        <f>VLOOKUP(patient[[#This Row],[ID_mutuelle]],mutuelle[],2,FALSE)</f>
        <v>MUTUELLE FAMILIALE DE NORMANDIE</v>
      </c>
    </row>
    <row r="280" spans="1:17" x14ac:dyDescent="0.3">
      <c r="A280" s="8">
        <v>611</v>
      </c>
      <c r="B280" s="9" t="s">
        <v>2061</v>
      </c>
      <c r="C280" s="9" t="s">
        <v>2062</v>
      </c>
      <c r="D280" s="9" t="s">
        <v>2063</v>
      </c>
      <c r="E280" s="8">
        <v>91404</v>
      </c>
      <c r="F280" s="9" t="s">
        <v>288</v>
      </c>
      <c r="G280" s="9" t="s">
        <v>2064</v>
      </c>
      <c r="H280" s="8">
        <v>687011066</v>
      </c>
      <c r="I280" s="8">
        <v>28</v>
      </c>
      <c r="J280" s="8">
        <v>145</v>
      </c>
      <c r="K280" s="8">
        <v>86</v>
      </c>
      <c r="L280" s="9" t="s">
        <v>987</v>
      </c>
      <c r="M280" s="9" t="s">
        <v>993</v>
      </c>
      <c r="N280" s="8">
        <v>0</v>
      </c>
      <c r="O280" s="8">
        <v>43</v>
      </c>
      <c r="P280" s="8">
        <v>1</v>
      </c>
      <c r="Q280" s="8" t="str">
        <f>VLOOKUP(patient[[#This Row],[ID_mutuelle]],mutuelle[],2,FALSE)</f>
        <v>LA PROBITE</v>
      </c>
    </row>
    <row r="281" spans="1:17" x14ac:dyDescent="0.3">
      <c r="A281" s="8">
        <v>612</v>
      </c>
      <c r="B281" s="9" t="s">
        <v>2065</v>
      </c>
      <c r="C281" s="9" t="s">
        <v>2066</v>
      </c>
      <c r="D281" s="9" t="s">
        <v>2067</v>
      </c>
      <c r="E281" s="8">
        <v>95549</v>
      </c>
      <c r="F281" s="9" t="s">
        <v>39</v>
      </c>
      <c r="G281" s="9" t="s">
        <v>2068</v>
      </c>
      <c r="H281" s="8">
        <v>644573830</v>
      </c>
      <c r="I281" s="8">
        <v>64</v>
      </c>
      <c r="J281" s="8">
        <v>40</v>
      </c>
      <c r="K281" s="8">
        <v>137</v>
      </c>
      <c r="L281" s="9" t="s">
        <v>987</v>
      </c>
      <c r="M281" s="9" t="s">
        <v>993</v>
      </c>
      <c r="N281" s="8">
        <v>1</v>
      </c>
      <c r="O281" s="8">
        <v>239</v>
      </c>
      <c r="P281" s="8">
        <v>1</v>
      </c>
      <c r="Q281" s="8" t="str">
        <f>VLOOKUP(patient[[#This Row],[ID_mutuelle]],mutuelle[],2,FALSE)</f>
        <v>OCEANE SANTE - SAINTE PHILOMENE</v>
      </c>
    </row>
    <row r="282" spans="1:17" x14ac:dyDescent="0.3">
      <c r="A282" s="8">
        <v>613</v>
      </c>
      <c r="B282" s="9" t="s">
        <v>2069</v>
      </c>
      <c r="C282" s="9" t="s">
        <v>2070</v>
      </c>
      <c r="D282" s="9" t="s">
        <v>2071</v>
      </c>
      <c r="E282" s="8">
        <v>91111</v>
      </c>
      <c r="F282" s="9" t="s">
        <v>257</v>
      </c>
      <c r="G282" s="9" t="s">
        <v>2072</v>
      </c>
      <c r="H282" s="8">
        <v>653425706</v>
      </c>
      <c r="I282" s="8">
        <v>92</v>
      </c>
      <c r="J282" s="8">
        <v>57</v>
      </c>
      <c r="K282" s="8">
        <v>172</v>
      </c>
      <c r="L282" s="9" t="s">
        <v>987</v>
      </c>
      <c r="M282" s="9" t="s">
        <v>1077</v>
      </c>
      <c r="N282" s="8">
        <v>1</v>
      </c>
      <c r="O282" s="8">
        <v>262</v>
      </c>
      <c r="P282" s="8">
        <v>2</v>
      </c>
      <c r="Q282" s="8" t="str">
        <f>VLOOKUP(patient[[#This Row],[ID_mutuelle]],mutuelle[],2,FALSE)</f>
        <v>TUTELAIRE</v>
      </c>
    </row>
    <row r="283" spans="1:17" x14ac:dyDescent="0.3">
      <c r="A283" s="8">
        <v>614</v>
      </c>
      <c r="B283" s="9" t="s">
        <v>2073</v>
      </c>
      <c r="C283" s="9" t="s">
        <v>2074</v>
      </c>
      <c r="D283" s="9" t="s">
        <v>2075</v>
      </c>
      <c r="E283" s="8">
        <v>92519</v>
      </c>
      <c r="F283" s="9" t="s">
        <v>39</v>
      </c>
      <c r="G283" s="9" t="s">
        <v>2076</v>
      </c>
      <c r="H283" s="8">
        <v>625553113</v>
      </c>
      <c r="I283" s="8">
        <v>8</v>
      </c>
      <c r="J283" s="8">
        <v>32</v>
      </c>
      <c r="K283" s="8">
        <v>197</v>
      </c>
      <c r="L283" s="9" t="s">
        <v>987</v>
      </c>
      <c r="M283" s="9" t="s">
        <v>1045</v>
      </c>
      <c r="N283" s="8">
        <v>0</v>
      </c>
      <c r="O283" s="8">
        <v>238</v>
      </c>
      <c r="P283" s="8">
        <v>2</v>
      </c>
      <c r="Q283" s="8" t="str">
        <f>VLOOKUP(patient[[#This Row],[ID_mutuelle]],mutuelle[],2,FALSE)</f>
        <v>NYMPHEA SANTE</v>
      </c>
    </row>
    <row r="284" spans="1:17" x14ac:dyDescent="0.3">
      <c r="A284" s="8">
        <v>615</v>
      </c>
      <c r="B284" s="9" t="s">
        <v>2077</v>
      </c>
      <c r="C284" s="9" t="s">
        <v>2078</v>
      </c>
      <c r="D284" s="9" t="s">
        <v>2079</v>
      </c>
      <c r="E284" s="8">
        <v>91824</v>
      </c>
      <c r="F284" s="9" t="s">
        <v>213</v>
      </c>
      <c r="G284" s="9" t="s">
        <v>2080</v>
      </c>
      <c r="H284" s="8">
        <v>644439795</v>
      </c>
      <c r="I284" s="8">
        <v>96</v>
      </c>
      <c r="J284" s="8">
        <v>21</v>
      </c>
      <c r="K284" s="8">
        <v>177</v>
      </c>
      <c r="L284" s="9" t="s">
        <v>987</v>
      </c>
      <c r="M284" s="9" t="s">
        <v>983</v>
      </c>
      <c r="N284" s="8">
        <v>0</v>
      </c>
      <c r="O284" s="8">
        <v>56</v>
      </c>
      <c r="P284" s="8">
        <v>3</v>
      </c>
      <c r="Q284" s="8" t="str">
        <f>VLOOKUP(patient[[#This Row],[ID_mutuelle]],mutuelle[],2,FALSE)</f>
        <v>MGEN FILIA</v>
      </c>
    </row>
    <row r="285" spans="1:17" x14ac:dyDescent="0.3">
      <c r="A285" s="8">
        <v>616</v>
      </c>
      <c r="B285" s="9" t="s">
        <v>2081</v>
      </c>
      <c r="C285" s="9" t="s">
        <v>2082</v>
      </c>
      <c r="D285" s="9" t="s">
        <v>2083</v>
      </c>
      <c r="E285" s="8">
        <v>95316</v>
      </c>
      <c r="F285" s="9" t="s">
        <v>368</v>
      </c>
      <c r="G285" s="9" t="s">
        <v>2084</v>
      </c>
      <c r="H285" s="8">
        <v>692065625</v>
      </c>
      <c r="I285" s="8">
        <v>13</v>
      </c>
      <c r="J285" s="8">
        <v>74</v>
      </c>
      <c r="K285" s="8">
        <v>137</v>
      </c>
      <c r="L285" s="9" t="s">
        <v>987</v>
      </c>
      <c r="M285" s="9" t="s">
        <v>993</v>
      </c>
      <c r="N285" s="8">
        <v>0</v>
      </c>
      <c r="O285" s="8">
        <v>210</v>
      </c>
      <c r="P285" s="8">
        <v>3</v>
      </c>
      <c r="Q285" s="8" t="str">
        <f>VLOOKUP(patient[[#This Row],[ID_mutuelle]],mutuelle[],2,FALSE)</f>
        <v>MUTUELLE NATIONALE DES CONSTRUCTEURS ET ACCEDANTS A LA PROPRIETE</v>
      </c>
    </row>
    <row r="286" spans="1:17" x14ac:dyDescent="0.3">
      <c r="A286" s="8">
        <v>617</v>
      </c>
      <c r="B286" s="9" t="s">
        <v>2085</v>
      </c>
      <c r="C286" s="9" t="s">
        <v>2086</v>
      </c>
      <c r="D286" s="9" t="s">
        <v>2087</v>
      </c>
      <c r="E286" s="8">
        <v>95544</v>
      </c>
      <c r="F286" s="9" t="s">
        <v>129</v>
      </c>
      <c r="G286" s="9" t="s">
        <v>2088</v>
      </c>
      <c r="H286" s="8">
        <v>694394355</v>
      </c>
      <c r="I286" s="8">
        <v>21</v>
      </c>
      <c r="J286" s="8">
        <v>3</v>
      </c>
      <c r="K286" s="8">
        <v>158</v>
      </c>
      <c r="L286" s="9" t="s">
        <v>982</v>
      </c>
      <c r="M286" s="9" t="s">
        <v>993</v>
      </c>
      <c r="N286" s="8">
        <v>0</v>
      </c>
      <c r="O286" s="8">
        <v>205</v>
      </c>
      <c r="P286" s="8">
        <v>2</v>
      </c>
      <c r="Q286" s="8" t="str">
        <f>VLOOKUP(patient[[#This Row],[ID_mutuelle]],mutuelle[],2,FALSE)</f>
        <v>MUTUELLE MEDICALE CHIRURGICALE ATLANTIQUE</v>
      </c>
    </row>
    <row r="287" spans="1:17" x14ac:dyDescent="0.3">
      <c r="A287" s="8">
        <v>618</v>
      </c>
      <c r="B287" s="9" t="s">
        <v>1469</v>
      </c>
      <c r="C287" s="9" t="s">
        <v>2036</v>
      </c>
      <c r="D287" s="9" t="s">
        <v>2089</v>
      </c>
      <c r="E287" s="8">
        <v>75872</v>
      </c>
      <c r="F287" s="9" t="s">
        <v>114</v>
      </c>
      <c r="G287" s="9" t="s">
        <v>2090</v>
      </c>
      <c r="H287" s="8">
        <v>657611124</v>
      </c>
      <c r="I287" s="8">
        <v>1</v>
      </c>
      <c r="J287" s="8">
        <v>13</v>
      </c>
      <c r="K287" s="8">
        <v>168</v>
      </c>
      <c r="L287" s="9" t="s">
        <v>987</v>
      </c>
      <c r="M287" s="9" t="s">
        <v>1077</v>
      </c>
      <c r="N287" s="8">
        <v>1</v>
      </c>
      <c r="O287" s="8">
        <v>154</v>
      </c>
      <c r="P287" s="8">
        <v>2</v>
      </c>
      <c r="Q287" s="8" t="str">
        <f>VLOOKUP(patient[[#This Row],[ID_mutuelle]],mutuelle[],2,FALSE)</f>
        <v>MUTUELLE DU MONDE COMBATTANT</v>
      </c>
    </row>
    <row r="288" spans="1:17" x14ac:dyDescent="0.3">
      <c r="A288" s="8">
        <v>619</v>
      </c>
      <c r="B288" s="9" t="s">
        <v>2091</v>
      </c>
      <c r="C288" s="9" t="s">
        <v>2092</v>
      </c>
      <c r="D288" s="9" t="s">
        <v>2093</v>
      </c>
      <c r="E288" s="8">
        <v>95318</v>
      </c>
      <c r="F288" s="9" t="s">
        <v>208</v>
      </c>
      <c r="G288" s="9" t="s">
        <v>2094</v>
      </c>
      <c r="H288" s="8">
        <v>629172587</v>
      </c>
      <c r="I288" s="8">
        <v>94</v>
      </c>
      <c r="J288" s="8">
        <v>95</v>
      </c>
      <c r="K288" s="8">
        <v>134</v>
      </c>
      <c r="L288" s="9" t="s">
        <v>987</v>
      </c>
      <c r="M288" s="9" t="s">
        <v>993</v>
      </c>
      <c r="N288" s="8">
        <v>0</v>
      </c>
      <c r="O288" s="8">
        <v>15</v>
      </c>
      <c r="P288" s="8">
        <v>3</v>
      </c>
      <c r="Q288" s="8" t="str">
        <f>VLOOKUP(patient[[#This Row],[ID_mutuelle]],mutuelle[],2,FALSE)</f>
        <v>CDC MUTUELLE</v>
      </c>
    </row>
    <row r="289" spans="1:17" x14ac:dyDescent="0.3">
      <c r="A289" s="8">
        <v>620</v>
      </c>
      <c r="B289" s="9" t="s">
        <v>2095</v>
      </c>
      <c r="C289" s="9" t="s">
        <v>2096</v>
      </c>
      <c r="D289" s="9" t="s">
        <v>2097</v>
      </c>
      <c r="E289" s="8">
        <v>75970</v>
      </c>
      <c r="F289" s="9" t="s">
        <v>194</v>
      </c>
      <c r="G289" s="9" t="s">
        <v>2098</v>
      </c>
      <c r="H289" s="8">
        <v>664333169</v>
      </c>
      <c r="I289" s="8">
        <v>52</v>
      </c>
      <c r="J289" s="8">
        <v>29</v>
      </c>
      <c r="K289" s="8">
        <v>163</v>
      </c>
      <c r="L289" s="9" t="s">
        <v>987</v>
      </c>
      <c r="M289" s="9" t="s">
        <v>993</v>
      </c>
      <c r="N289" s="8">
        <v>1</v>
      </c>
      <c r="O289" s="8">
        <v>119</v>
      </c>
      <c r="P289" s="8">
        <v>1</v>
      </c>
      <c r="Q289" s="8" t="str">
        <f>VLOOKUP(patient[[#This Row],[ID_mutuelle]],mutuelle[],2,FALSE)</f>
        <v>MUTUELLE DES AUTEURS COMPOSITEURS ET EDITEURS DE MUSIQUE</v>
      </c>
    </row>
    <row r="290" spans="1:17" x14ac:dyDescent="0.3">
      <c r="A290" s="8">
        <v>621</v>
      </c>
      <c r="B290" s="9" t="s">
        <v>2099</v>
      </c>
      <c r="C290" s="9" t="s">
        <v>2100</v>
      </c>
      <c r="D290" s="9" t="s">
        <v>2101</v>
      </c>
      <c r="E290" s="8">
        <v>95135</v>
      </c>
      <c r="F290" s="9" t="s">
        <v>25</v>
      </c>
      <c r="G290" s="9" t="s">
        <v>2102</v>
      </c>
      <c r="H290" s="8">
        <v>698311561</v>
      </c>
      <c r="I290" s="8">
        <v>39</v>
      </c>
      <c r="J290" s="8">
        <v>24</v>
      </c>
      <c r="K290" s="8">
        <v>177</v>
      </c>
      <c r="L290" s="9" t="s">
        <v>987</v>
      </c>
      <c r="M290" s="9" t="s">
        <v>993</v>
      </c>
      <c r="N290" s="8">
        <v>1</v>
      </c>
      <c r="O290" s="8">
        <v>157</v>
      </c>
      <c r="P290" s="8">
        <v>1</v>
      </c>
      <c r="Q290" s="8" t="str">
        <f>VLOOKUP(patient[[#This Row],[ID_mutuelle]],mutuelle[],2,FALSE)</f>
        <v>MUTUELLE DU PERSONNEL DES COLLECTIVITES TERRITORIALE DE LA REUNION</v>
      </c>
    </row>
    <row r="291" spans="1:17" x14ac:dyDescent="0.3">
      <c r="A291" s="8">
        <v>622</v>
      </c>
      <c r="B291" s="9" t="s">
        <v>2103</v>
      </c>
      <c r="C291" s="9" t="s">
        <v>2104</v>
      </c>
      <c r="D291" s="9" t="s">
        <v>2105</v>
      </c>
      <c r="E291" s="8">
        <v>93131</v>
      </c>
      <c r="F291" s="9" t="s">
        <v>162</v>
      </c>
      <c r="G291" s="9" t="s">
        <v>2106</v>
      </c>
      <c r="H291" s="8">
        <v>616640632</v>
      </c>
      <c r="I291" s="8">
        <v>89</v>
      </c>
      <c r="J291" s="8">
        <v>57</v>
      </c>
      <c r="K291" s="8">
        <v>155</v>
      </c>
      <c r="L291" s="9" t="s">
        <v>987</v>
      </c>
      <c r="M291" s="9" t="s">
        <v>1077</v>
      </c>
      <c r="N291" s="8">
        <v>1</v>
      </c>
      <c r="O291" s="8">
        <v>139</v>
      </c>
      <c r="P291" s="8">
        <v>2</v>
      </c>
      <c r="Q291" s="8" t="str">
        <f>VLOOKUP(patient[[#This Row],[ID_mutuelle]],mutuelle[],2,FALSE)</f>
        <v>MUTUELLE DES SAPEURS POMPIERS DE PARIS</v>
      </c>
    </row>
    <row r="292" spans="1:17" x14ac:dyDescent="0.3">
      <c r="A292" s="8">
        <v>623</v>
      </c>
      <c r="B292" s="9" t="s">
        <v>2107</v>
      </c>
      <c r="C292" s="9" t="s">
        <v>2108</v>
      </c>
      <c r="D292" s="9" t="s">
        <v>2109</v>
      </c>
      <c r="E292" s="8">
        <v>75796</v>
      </c>
      <c r="F292" s="9" t="s">
        <v>340</v>
      </c>
      <c r="G292" s="9" t="s">
        <v>2110</v>
      </c>
      <c r="H292" s="8">
        <v>696694756</v>
      </c>
      <c r="I292" s="8">
        <v>13</v>
      </c>
      <c r="J292" s="8">
        <v>78</v>
      </c>
      <c r="K292" s="8">
        <v>87</v>
      </c>
      <c r="L292" s="9" t="s">
        <v>987</v>
      </c>
      <c r="M292" s="9" t="s">
        <v>983</v>
      </c>
      <c r="N292" s="8">
        <v>1</v>
      </c>
      <c r="O292" s="8">
        <v>132</v>
      </c>
      <c r="P292" s="8">
        <v>2</v>
      </c>
      <c r="Q292" s="8" t="str">
        <f>VLOOKUP(patient[[#This Row],[ID_mutuelle]],mutuelle[],2,FALSE)</f>
        <v>MUTUELLE DES PATENTES ET LIBERAUX DE NOUVELLE CALEDONIE</v>
      </c>
    </row>
    <row r="293" spans="1:17" x14ac:dyDescent="0.3">
      <c r="A293" s="8">
        <v>624</v>
      </c>
      <c r="B293" s="9" t="s">
        <v>2111</v>
      </c>
      <c r="C293" s="9" t="s">
        <v>2112</v>
      </c>
      <c r="D293" s="9" t="s">
        <v>2113</v>
      </c>
      <c r="E293" s="8">
        <v>94291</v>
      </c>
      <c r="F293" s="9" t="s">
        <v>58</v>
      </c>
      <c r="G293" s="9" t="s">
        <v>2114</v>
      </c>
      <c r="H293" s="8">
        <v>667350714</v>
      </c>
      <c r="I293" s="8">
        <v>47</v>
      </c>
      <c r="J293" s="8">
        <v>88</v>
      </c>
      <c r="K293" s="8">
        <v>210</v>
      </c>
      <c r="L293" s="9" t="s">
        <v>987</v>
      </c>
      <c r="M293" s="9" t="s">
        <v>983</v>
      </c>
      <c r="N293" s="8">
        <v>0</v>
      </c>
      <c r="O293" s="8">
        <v>253</v>
      </c>
      <c r="P293" s="8">
        <v>1</v>
      </c>
      <c r="Q293" s="8" t="str">
        <f>VLOOKUP(patient[[#This Row],[ID_mutuelle]],mutuelle[],2,FALSE)</f>
        <v>SOCIETE MUTUALISTE DU SALEVE</v>
      </c>
    </row>
    <row r="294" spans="1:17" x14ac:dyDescent="0.3">
      <c r="A294" s="8">
        <v>625</v>
      </c>
      <c r="B294" s="9" t="s">
        <v>2115</v>
      </c>
      <c r="C294" s="9" t="s">
        <v>2116</v>
      </c>
      <c r="D294" s="9" t="s">
        <v>2117</v>
      </c>
      <c r="E294" s="8">
        <v>94755</v>
      </c>
      <c r="F294" s="9" t="s">
        <v>168</v>
      </c>
      <c r="G294" s="9" t="s">
        <v>2118</v>
      </c>
      <c r="H294" s="8">
        <v>660529121</v>
      </c>
      <c r="I294" s="8">
        <v>90</v>
      </c>
      <c r="J294" s="8">
        <v>98</v>
      </c>
      <c r="K294" s="8">
        <v>169</v>
      </c>
      <c r="L294" s="9" t="s">
        <v>982</v>
      </c>
      <c r="M294" s="9" t="s">
        <v>1032</v>
      </c>
      <c r="N294" s="8">
        <v>1</v>
      </c>
      <c r="O294" s="8">
        <v>138</v>
      </c>
      <c r="P294" s="8">
        <v>1</v>
      </c>
      <c r="Q294" s="8" t="str">
        <f>VLOOKUP(patient[[#This Row],[ID_mutuelle]],mutuelle[],2,FALSE)</f>
        <v>MUTUELLE DES SAPEURS POMPIERS</v>
      </c>
    </row>
    <row r="295" spans="1:17" x14ac:dyDescent="0.3">
      <c r="A295" s="8">
        <v>626</v>
      </c>
      <c r="B295" s="9" t="s">
        <v>2119</v>
      </c>
      <c r="C295" s="9" t="s">
        <v>2120</v>
      </c>
      <c r="D295" s="9" t="s">
        <v>2121</v>
      </c>
      <c r="E295" s="8">
        <v>93521</v>
      </c>
      <c r="F295" s="9" t="s">
        <v>582</v>
      </c>
      <c r="G295" s="9" t="s">
        <v>2122</v>
      </c>
      <c r="H295" s="8">
        <v>625751518</v>
      </c>
      <c r="I295" s="8">
        <v>94</v>
      </c>
      <c r="J295" s="8">
        <v>97</v>
      </c>
      <c r="K295" s="8">
        <v>115</v>
      </c>
      <c r="L295" s="9" t="s">
        <v>982</v>
      </c>
      <c r="M295" s="9" t="s">
        <v>993</v>
      </c>
      <c r="N295" s="8">
        <v>0</v>
      </c>
      <c r="O295" s="8">
        <v>143</v>
      </c>
      <c r="P295" s="8">
        <v>2</v>
      </c>
      <c r="Q295" s="8" t="str">
        <f>VLOOKUP(patient[[#This Row],[ID_mutuelle]],mutuelle[],2,FALSE)</f>
        <v>MUTUELLE DES TERRITORIAUX ET HOSPITALIERS</v>
      </c>
    </row>
    <row r="296" spans="1:17" x14ac:dyDescent="0.3">
      <c r="A296" s="8">
        <v>627</v>
      </c>
      <c r="B296" s="9" t="s">
        <v>2123</v>
      </c>
      <c r="C296" s="9" t="s">
        <v>1042</v>
      </c>
      <c r="D296" s="9" t="s">
        <v>2124</v>
      </c>
      <c r="E296" s="8">
        <v>91988</v>
      </c>
      <c r="F296" s="9" t="s">
        <v>46</v>
      </c>
      <c r="G296" s="9" t="s">
        <v>2125</v>
      </c>
      <c r="H296" s="8">
        <v>651729824</v>
      </c>
      <c r="I296" s="8">
        <v>87</v>
      </c>
      <c r="J296" s="8">
        <v>90</v>
      </c>
      <c r="K296" s="8">
        <v>158</v>
      </c>
      <c r="L296" s="9" t="s">
        <v>982</v>
      </c>
      <c r="M296" s="9" t="s">
        <v>988</v>
      </c>
      <c r="N296" s="8">
        <v>1</v>
      </c>
      <c r="O296" s="8">
        <v>117</v>
      </c>
      <c r="P296" s="8">
        <v>2</v>
      </c>
      <c r="Q296" s="8" t="str">
        <f>VLOOKUP(patient[[#This Row],[ID_mutuelle]],mutuelle[],2,FALSE)</f>
        <v>MUTUELLE DES ANCIENS DE NATIXIS</v>
      </c>
    </row>
    <row r="297" spans="1:17" x14ac:dyDescent="0.3">
      <c r="A297" s="8">
        <v>628</v>
      </c>
      <c r="B297" s="9" t="s">
        <v>2126</v>
      </c>
      <c r="C297" s="9" t="s">
        <v>2127</v>
      </c>
      <c r="D297" s="9" t="s">
        <v>2128</v>
      </c>
      <c r="E297" s="8">
        <v>95518</v>
      </c>
      <c r="F297" s="9" t="s">
        <v>269</v>
      </c>
      <c r="G297" s="9" t="s">
        <v>2129</v>
      </c>
      <c r="H297" s="8">
        <v>677970095</v>
      </c>
      <c r="I297" s="8">
        <v>37</v>
      </c>
      <c r="J297" s="8">
        <v>65</v>
      </c>
      <c r="K297" s="8">
        <v>181</v>
      </c>
      <c r="L297" s="9" t="s">
        <v>982</v>
      </c>
      <c r="M297" s="9" t="s">
        <v>1077</v>
      </c>
      <c r="N297" s="8">
        <v>0</v>
      </c>
      <c r="O297" s="8">
        <v>152</v>
      </c>
      <c r="P297" s="8">
        <v>3</v>
      </c>
      <c r="Q297" s="8" t="str">
        <f>VLOOKUP(patient[[#This Row],[ID_mutuelle]],mutuelle[],2,FALSE)</f>
        <v>MUTUELLE DU LOGEMENT</v>
      </c>
    </row>
    <row r="298" spans="1:17" x14ac:dyDescent="0.3">
      <c r="A298" s="8">
        <v>629</v>
      </c>
      <c r="B298" s="9" t="s">
        <v>97</v>
      </c>
      <c r="C298" s="9" t="s">
        <v>2130</v>
      </c>
      <c r="D298" s="9" t="s">
        <v>2131</v>
      </c>
      <c r="E298" s="8">
        <v>92256</v>
      </c>
      <c r="F298" s="9" t="s">
        <v>46</v>
      </c>
      <c r="G298" s="9" t="s">
        <v>2132</v>
      </c>
      <c r="H298" s="8">
        <v>648507910</v>
      </c>
      <c r="I298" s="8">
        <v>21</v>
      </c>
      <c r="J298" s="8">
        <v>70</v>
      </c>
      <c r="K298" s="8">
        <v>104</v>
      </c>
      <c r="L298" s="9" t="s">
        <v>987</v>
      </c>
      <c r="M298" s="9" t="s">
        <v>993</v>
      </c>
      <c r="N298" s="8">
        <v>0</v>
      </c>
      <c r="O298" s="8">
        <v>112</v>
      </c>
      <c r="P298" s="8">
        <v>2</v>
      </c>
      <c r="Q298" s="8" t="str">
        <f>VLOOKUP(patient[[#This Row],[ID_mutuelle]],mutuelle[],2,FALSE)</f>
        <v>MUTUELLE DE PREVOYANCE DU PERSONNEL DE LA MACIF</v>
      </c>
    </row>
    <row r="299" spans="1:17" x14ac:dyDescent="0.3">
      <c r="A299" s="8">
        <v>630</v>
      </c>
      <c r="B299" s="9" t="s">
        <v>1601</v>
      </c>
      <c r="C299" s="9" t="s">
        <v>2133</v>
      </c>
      <c r="D299" s="9" t="s">
        <v>2134</v>
      </c>
      <c r="E299" s="8">
        <v>75485</v>
      </c>
      <c r="F299" s="9" t="s">
        <v>257</v>
      </c>
      <c r="G299" s="9" t="s">
        <v>2135</v>
      </c>
      <c r="H299" s="8">
        <v>682645654</v>
      </c>
      <c r="I299" s="8">
        <v>69</v>
      </c>
      <c r="J299" s="8">
        <v>38</v>
      </c>
      <c r="K299" s="8">
        <v>188</v>
      </c>
      <c r="L299" s="9" t="s">
        <v>987</v>
      </c>
      <c r="M299" s="9" t="s">
        <v>983</v>
      </c>
      <c r="N299" s="8">
        <v>0</v>
      </c>
      <c r="O299" s="8">
        <v>188</v>
      </c>
      <c r="P299" s="8">
        <v>1</v>
      </c>
      <c r="Q299" s="8" t="str">
        <f>VLOOKUP(patient[[#This Row],[ID_mutuelle]],mutuelle[],2,FALSE)</f>
        <v>MUTUELLE INTERENTREPRISE ERAM 526</v>
      </c>
    </row>
    <row r="300" spans="1:17" x14ac:dyDescent="0.3">
      <c r="A300" s="8">
        <v>631</v>
      </c>
      <c r="B300" s="9" t="s">
        <v>2136</v>
      </c>
      <c r="C300" s="9" t="s">
        <v>2137</v>
      </c>
      <c r="D300" s="9" t="s">
        <v>2138</v>
      </c>
      <c r="E300" s="8">
        <v>93501</v>
      </c>
      <c r="F300" s="9" t="s">
        <v>288</v>
      </c>
      <c r="G300" s="9" t="s">
        <v>2139</v>
      </c>
      <c r="H300" s="8">
        <v>623024729</v>
      </c>
      <c r="I300" s="8">
        <v>108</v>
      </c>
      <c r="J300" s="8">
        <v>37</v>
      </c>
      <c r="K300" s="8">
        <v>112</v>
      </c>
      <c r="L300" s="9" t="s">
        <v>987</v>
      </c>
      <c r="M300" s="9" t="s">
        <v>993</v>
      </c>
      <c r="N300" s="8">
        <v>1</v>
      </c>
      <c r="O300" s="8">
        <v>66</v>
      </c>
      <c r="P300" s="8">
        <v>1</v>
      </c>
      <c r="Q300" s="8" t="str">
        <f>VLOOKUP(patient[[#This Row],[ID_mutuelle]],mutuelle[],2,FALSE)</f>
        <v>MUTAMI</v>
      </c>
    </row>
    <row r="301" spans="1:17" x14ac:dyDescent="0.3">
      <c r="A301" s="8">
        <v>632</v>
      </c>
      <c r="B301" s="9" t="s">
        <v>2140</v>
      </c>
      <c r="C301" s="9" t="s">
        <v>667</v>
      </c>
      <c r="D301" s="9" t="s">
        <v>2141</v>
      </c>
      <c r="E301" s="8">
        <v>94159</v>
      </c>
      <c r="F301" s="9" t="s">
        <v>129</v>
      </c>
      <c r="G301" s="9" t="s">
        <v>2142</v>
      </c>
      <c r="H301" s="8">
        <v>698584868</v>
      </c>
      <c r="I301" s="8">
        <v>107</v>
      </c>
      <c r="J301" s="8">
        <v>9</v>
      </c>
      <c r="K301" s="8">
        <v>90</v>
      </c>
      <c r="L301" s="9" t="s">
        <v>982</v>
      </c>
      <c r="M301" s="9" t="s">
        <v>993</v>
      </c>
      <c r="N301" s="8">
        <v>1</v>
      </c>
      <c r="O301" s="8">
        <v>233</v>
      </c>
      <c r="P301" s="8">
        <v>1</v>
      </c>
      <c r="Q301" s="8" t="str">
        <f>VLOOKUP(patient[[#This Row],[ID_mutuelle]],mutuelle[],2,FALSE)</f>
        <v>MUTUELLE VERRIERS ET ASSIMILES</v>
      </c>
    </row>
    <row r="302" spans="1:17" x14ac:dyDescent="0.3">
      <c r="A302" s="8">
        <v>633</v>
      </c>
      <c r="B302" s="9" t="s">
        <v>2143</v>
      </c>
      <c r="C302" s="9" t="s">
        <v>630</v>
      </c>
      <c r="D302" s="9" t="s">
        <v>2144</v>
      </c>
      <c r="E302" s="8">
        <v>94161</v>
      </c>
      <c r="F302" s="9" t="s">
        <v>58</v>
      </c>
      <c r="G302" s="9" t="s">
        <v>2145</v>
      </c>
      <c r="H302" s="8">
        <v>637059105</v>
      </c>
      <c r="I302" s="8">
        <v>77</v>
      </c>
      <c r="J302" s="8">
        <v>112</v>
      </c>
      <c r="K302" s="8">
        <v>184</v>
      </c>
      <c r="L302" s="9" t="s">
        <v>987</v>
      </c>
      <c r="M302" s="9" t="s">
        <v>993</v>
      </c>
      <c r="N302" s="8">
        <v>1</v>
      </c>
      <c r="O302" s="8">
        <v>182</v>
      </c>
      <c r="P302" s="8">
        <v>2</v>
      </c>
      <c r="Q302" s="8" t="str">
        <f>VLOOKUP(patient[[#This Row],[ID_mutuelle]],mutuelle[],2,FALSE)</f>
        <v>MUTUELLE GENERALE DES CHEMINOTS</v>
      </c>
    </row>
    <row r="303" spans="1:17" x14ac:dyDescent="0.3">
      <c r="A303" s="8">
        <v>634</v>
      </c>
      <c r="B303" s="9" t="s">
        <v>2146</v>
      </c>
      <c r="C303" s="9" t="s">
        <v>2147</v>
      </c>
      <c r="D303" s="9" t="s">
        <v>2148</v>
      </c>
      <c r="E303" s="8">
        <v>75811</v>
      </c>
      <c r="F303" s="9" t="s">
        <v>208</v>
      </c>
      <c r="G303" s="9" t="s">
        <v>2149</v>
      </c>
      <c r="H303" s="8">
        <v>610174082</v>
      </c>
      <c r="I303" s="8">
        <v>24</v>
      </c>
      <c r="J303" s="8">
        <v>45</v>
      </c>
      <c r="K303" s="8">
        <v>214</v>
      </c>
      <c r="L303" s="9" t="s">
        <v>987</v>
      </c>
      <c r="M303" s="9" t="s">
        <v>1045</v>
      </c>
      <c r="N303" s="8">
        <v>1</v>
      </c>
      <c r="O303" s="8">
        <v>54</v>
      </c>
      <c r="P303" s="8">
        <v>3</v>
      </c>
      <c r="Q303" s="8" t="str">
        <f>VLOOKUP(patient[[#This Row],[ID_mutuelle]],mutuelle[],2,FALSE)</f>
        <v>MGDF - MUTUELLE GOODYEAR DUNLOP FRANCE</v>
      </c>
    </row>
    <row r="304" spans="1:17" x14ac:dyDescent="0.3">
      <c r="A304" s="8">
        <v>635</v>
      </c>
      <c r="B304" s="9" t="s">
        <v>2150</v>
      </c>
      <c r="C304" s="9" t="s">
        <v>2151</v>
      </c>
      <c r="D304" s="9" t="s">
        <v>2152</v>
      </c>
      <c r="E304" s="8">
        <v>75939</v>
      </c>
      <c r="F304" s="9" t="s">
        <v>162</v>
      </c>
      <c r="G304" s="9" t="s">
        <v>2153</v>
      </c>
      <c r="H304" s="8">
        <v>649575839</v>
      </c>
      <c r="I304" s="8">
        <v>47</v>
      </c>
      <c r="J304" s="8">
        <v>93</v>
      </c>
      <c r="K304" s="8">
        <v>122</v>
      </c>
      <c r="L304" s="9" t="s">
        <v>987</v>
      </c>
      <c r="M304" s="9" t="s">
        <v>998</v>
      </c>
      <c r="N304" s="8">
        <v>1</v>
      </c>
      <c r="O304" s="8">
        <v>170</v>
      </c>
      <c r="P304" s="8">
        <v>3</v>
      </c>
      <c r="Q304" s="8" t="str">
        <f>VLOOKUP(patient[[#This Row],[ID_mutuelle]],mutuelle[],2,FALSE)</f>
        <v>MUTUELLE EPC</v>
      </c>
    </row>
    <row r="305" spans="1:17" x14ac:dyDescent="0.3">
      <c r="A305" s="8">
        <v>636</v>
      </c>
      <c r="B305" s="9" t="s">
        <v>2154</v>
      </c>
      <c r="C305" s="9" t="s">
        <v>2155</v>
      </c>
      <c r="D305" s="9" t="s">
        <v>2156</v>
      </c>
      <c r="E305" s="8">
        <v>95458</v>
      </c>
      <c r="F305" s="9" t="s">
        <v>194</v>
      </c>
      <c r="G305" s="9" t="s">
        <v>2157</v>
      </c>
      <c r="H305" s="8">
        <v>693736743</v>
      </c>
      <c r="I305" s="8">
        <v>59</v>
      </c>
      <c r="J305" s="8">
        <v>4</v>
      </c>
      <c r="K305" s="8">
        <v>175</v>
      </c>
      <c r="L305" s="9" t="s">
        <v>982</v>
      </c>
      <c r="M305" s="9" t="s">
        <v>1077</v>
      </c>
      <c r="N305" s="8">
        <v>1</v>
      </c>
      <c r="O305" s="8">
        <v>51</v>
      </c>
      <c r="P305" s="8">
        <v>2</v>
      </c>
      <c r="Q305" s="8" t="str">
        <f>VLOOKUP(patient[[#This Row],[ID_mutuelle]],mutuelle[],2,FALSE)</f>
        <v>MCEN - MUTUELLE DES CLERCS ET EMPLOYES DE NOTAIRE</v>
      </c>
    </row>
    <row r="306" spans="1:17" x14ac:dyDescent="0.3">
      <c r="A306" s="8">
        <v>637</v>
      </c>
      <c r="B306" s="9" t="s">
        <v>2158</v>
      </c>
      <c r="C306" s="9" t="s">
        <v>2159</v>
      </c>
      <c r="D306" s="9" t="s">
        <v>2160</v>
      </c>
      <c r="E306" s="8">
        <v>93802</v>
      </c>
      <c r="F306" s="9" t="s">
        <v>257</v>
      </c>
      <c r="G306" s="9" t="s">
        <v>2161</v>
      </c>
      <c r="H306" s="8">
        <v>616332306</v>
      </c>
      <c r="I306" s="8">
        <v>68</v>
      </c>
      <c r="J306" s="8">
        <v>45</v>
      </c>
      <c r="K306" s="8">
        <v>181</v>
      </c>
      <c r="L306" s="9" t="s">
        <v>987</v>
      </c>
      <c r="M306" s="9" t="s">
        <v>993</v>
      </c>
      <c r="N306" s="8">
        <v>0</v>
      </c>
      <c r="O306" s="8">
        <v>120</v>
      </c>
      <c r="P306" s="8">
        <v>1</v>
      </c>
      <c r="Q306" s="8" t="str">
        <f>VLOOKUP(patient[[#This Row],[ID_mutuelle]],mutuelle[],2,FALSE)</f>
        <v>MUTUELLE DES CHAMBRES DE COMMERCE ET D'INDUSTRIE</v>
      </c>
    </row>
    <row r="307" spans="1:17" x14ac:dyDescent="0.3">
      <c r="A307" s="8">
        <v>638</v>
      </c>
      <c r="B307" s="9" t="s">
        <v>2162</v>
      </c>
      <c r="C307" s="9" t="s">
        <v>2163</v>
      </c>
      <c r="D307" s="9" t="s">
        <v>2164</v>
      </c>
      <c r="E307" s="8">
        <v>91986</v>
      </c>
      <c r="F307" s="9" t="s">
        <v>77</v>
      </c>
      <c r="G307" s="9" t="s">
        <v>2165</v>
      </c>
      <c r="H307" s="8">
        <v>696128325</v>
      </c>
      <c r="I307" s="8">
        <v>57</v>
      </c>
      <c r="J307" s="8">
        <v>46</v>
      </c>
      <c r="K307" s="8">
        <v>152</v>
      </c>
      <c r="L307" s="9" t="s">
        <v>987</v>
      </c>
      <c r="M307" s="9" t="s">
        <v>993</v>
      </c>
      <c r="N307" s="8">
        <v>0</v>
      </c>
      <c r="O307" s="8">
        <v>230</v>
      </c>
      <c r="P307" s="8">
        <v>1</v>
      </c>
      <c r="Q307" s="8" t="str">
        <f>VLOOKUP(patient[[#This Row],[ID_mutuelle]],mutuelle[],2,FALSE)</f>
        <v>MUTUELLE UNEO</v>
      </c>
    </row>
    <row r="308" spans="1:17" x14ac:dyDescent="0.3">
      <c r="A308" s="8">
        <v>639</v>
      </c>
      <c r="B308" s="9" t="s">
        <v>2166</v>
      </c>
      <c r="C308" s="9" t="s">
        <v>2167</v>
      </c>
      <c r="D308" s="9" t="s">
        <v>2168</v>
      </c>
      <c r="E308" s="8">
        <v>78650</v>
      </c>
      <c r="F308" s="9" t="s">
        <v>124</v>
      </c>
      <c r="G308" s="9" t="s">
        <v>2169</v>
      </c>
      <c r="H308" s="8">
        <v>635728091</v>
      </c>
      <c r="I308" s="8">
        <v>7</v>
      </c>
      <c r="J308" s="8">
        <v>97</v>
      </c>
      <c r="K308" s="8">
        <v>209</v>
      </c>
      <c r="L308" s="9" t="s">
        <v>982</v>
      </c>
      <c r="M308" s="9" t="s">
        <v>993</v>
      </c>
      <c r="N308" s="8">
        <v>1</v>
      </c>
      <c r="O308" s="8">
        <v>87</v>
      </c>
      <c r="P308" s="8">
        <v>3</v>
      </c>
      <c r="Q308" s="8" t="str">
        <f>VLOOKUP(patient[[#This Row],[ID_mutuelle]],mutuelle[],2,FALSE)</f>
        <v>MUTUELLE D'ENTREPRISE DU PERSONNEL DE LA SOCIETE DES EAUX DE MARSEILLE</v>
      </c>
    </row>
    <row r="309" spans="1:17" x14ac:dyDescent="0.3">
      <c r="A309" s="8">
        <v>640</v>
      </c>
      <c r="B309" s="9" t="s">
        <v>2170</v>
      </c>
      <c r="C309" s="9" t="s">
        <v>2171</v>
      </c>
      <c r="D309" s="9" t="s">
        <v>2172</v>
      </c>
      <c r="E309" s="8">
        <v>93695</v>
      </c>
      <c r="F309" s="9" t="s">
        <v>257</v>
      </c>
      <c r="G309" s="9" t="s">
        <v>2173</v>
      </c>
      <c r="H309" s="8">
        <v>667761140</v>
      </c>
      <c r="I309" s="8">
        <v>25</v>
      </c>
      <c r="J309" s="8">
        <v>14</v>
      </c>
      <c r="K309" s="8">
        <v>224</v>
      </c>
      <c r="L309" s="9" t="s">
        <v>982</v>
      </c>
      <c r="M309" s="9" t="s">
        <v>1032</v>
      </c>
      <c r="N309" s="8">
        <v>0</v>
      </c>
      <c r="O309" s="8">
        <v>273</v>
      </c>
      <c r="P309" s="8">
        <v>2</v>
      </c>
      <c r="Q309" s="8" t="str">
        <f>VLOOKUP(patient[[#This Row],[ID_mutuelle]],mutuelle[],2,FALSE)</f>
        <v>UNMI'MUT</v>
      </c>
    </row>
    <row r="310" spans="1:17" x14ac:dyDescent="0.3">
      <c r="A310" s="8">
        <v>641</v>
      </c>
      <c r="B310" s="9" t="s">
        <v>2174</v>
      </c>
      <c r="C310" s="9" t="s">
        <v>2175</v>
      </c>
      <c r="D310" s="9" t="s">
        <v>2176</v>
      </c>
      <c r="E310" s="8">
        <v>92624</v>
      </c>
      <c r="F310" s="9" t="s">
        <v>477</v>
      </c>
      <c r="G310" s="9" t="s">
        <v>2177</v>
      </c>
      <c r="H310" s="8">
        <v>653298738</v>
      </c>
      <c r="I310" s="8">
        <v>51</v>
      </c>
      <c r="J310" s="8">
        <v>111</v>
      </c>
      <c r="K310" s="8">
        <v>94</v>
      </c>
      <c r="L310" s="9" t="s">
        <v>987</v>
      </c>
      <c r="M310" s="9" t="s">
        <v>998</v>
      </c>
      <c r="N310" s="8">
        <v>0</v>
      </c>
      <c r="O310" s="8">
        <v>84</v>
      </c>
      <c r="P310" s="8">
        <v>3</v>
      </c>
      <c r="Q310" s="8" t="str">
        <f>VLOOKUP(patient[[#This Row],[ID_mutuelle]],mutuelle[],2,FALSE)</f>
        <v>MUTUELLE D ENTREPRISE DES ETABLISSEMENTS DU BON SAUVEUR</v>
      </c>
    </row>
    <row r="311" spans="1:17" x14ac:dyDescent="0.3">
      <c r="A311" s="8">
        <v>642</v>
      </c>
      <c r="B311" s="9" t="s">
        <v>776</v>
      </c>
      <c r="C311" s="9" t="s">
        <v>2178</v>
      </c>
      <c r="D311" s="9" t="s">
        <v>2179</v>
      </c>
      <c r="E311" s="8">
        <v>94651</v>
      </c>
      <c r="F311" s="9" t="s">
        <v>83</v>
      </c>
      <c r="G311" s="9" t="s">
        <v>2180</v>
      </c>
      <c r="H311" s="8">
        <v>652573228</v>
      </c>
      <c r="I311" s="8">
        <v>81</v>
      </c>
      <c r="J311" s="8">
        <v>93</v>
      </c>
      <c r="K311" s="8">
        <v>194</v>
      </c>
      <c r="L311" s="9" t="s">
        <v>987</v>
      </c>
      <c r="M311" s="9" t="s">
        <v>993</v>
      </c>
      <c r="N311" s="8">
        <v>1</v>
      </c>
      <c r="O311" s="8">
        <v>96</v>
      </c>
      <c r="P311" s="8">
        <v>3</v>
      </c>
      <c r="Q311" s="8" t="str">
        <f>VLOOKUP(patient[[#This Row],[ID_mutuelle]],mutuelle[],2,FALSE)</f>
        <v>MUTUELLE DE FRANCE DES HOSPITALIERS</v>
      </c>
    </row>
    <row r="312" spans="1:17" x14ac:dyDescent="0.3">
      <c r="A312" s="8">
        <v>643</v>
      </c>
      <c r="B312" s="9" t="s">
        <v>2181</v>
      </c>
      <c r="C312" s="9" t="s">
        <v>2182</v>
      </c>
      <c r="D312" s="9" t="s">
        <v>2183</v>
      </c>
      <c r="E312" s="8">
        <v>92104</v>
      </c>
      <c r="F312" s="9" t="s">
        <v>58</v>
      </c>
      <c r="G312" s="9" t="s">
        <v>2184</v>
      </c>
      <c r="H312" s="8">
        <v>674861306</v>
      </c>
      <c r="I312" s="8">
        <v>82</v>
      </c>
      <c r="J312" s="8">
        <v>64</v>
      </c>
      <c r="K312" s="8">
        <v>90</v>
      </c>
      <c r="L312" s="9" t="s">
        <v>982</v>
      </c>
      <c r="M312" s="9" t="s">
        <v>993</v>
      </c>
      <c r="N312" s="8">
        <v>0</v>
      </c>
      <c r="O312" s="8">
        <v>198</v>
      </c>
      <c r="P312" s="8">
        <v>2</v>
      </c>
      <c r="Q312" s="8" t="str">
        <f>VLOOKUP(patient[[#This Row],[ID_mutuelle]],mutuelle[],2,FALSE)</f>
        <v>MUTUELLE LA SECURITE ASTURIENNE</v>
      </c>
    </row>
    <row r="313" spans="1:17" x14ac:dyDescent="0.3">
      <c r="A313" s="8">
        <v>644</v>
      </c>
      <c r="B313" s="9" t="s">
        <v>2185</v>
      </c>
      <c r="C313" s="9" t="s">
        <v>2186</v>
      </c>
      <c r="D313" s="9" t="s">
        <v>2187</v>
      </c>
      <c r="E313" s="8">
        <v>92815</v>
      </c>
      <c r="F313" s="9" t="s">
        <v>83</v>
      </c>
      <c r="G313" s="9" t="s">
        <v>2188</v>
      </c>
      <c r="H313" s="8">
        <v>673233446</v>
      </c>
      <c r="I313" s="8">
        <v>44</v>
      </c>
      <c r="J313" s="8">
        <v>150</v>
      </c>
      <c r="K313" s="8">
        <v>134</v>
      </c>
      <c r="L313" s="9" t="s">
        <v>987</v>
      </c>
      <c r="M313" s="9" t="s">
        <v>998</v>
      </c>
      <c r="N313" s="8">
        <v>1</v>
      </c>
      <c r="O313" s="8">
        <v>152</v>
      </c>
      <c r="P313" s="8">
        <v>2</v>
      </c>
      <c r="Q313" s="8" t="str">
        <f>VLOOKUP(patient[[#This Row],[ID_mutuelle]],mutuelle[],2,FALSE)</f>
        <v>MUTUELLE DU LOGEMENT</v>
      </c>
    </row>
    <row r="314" spans="1:17" x14ac:dyDescent="0.3">
      <c r="A314" s="8">
        <v>645</v>
      </c>
      <c r="B314" s="9" t="s">
        <v>2189</v>
      </c>
      <c r="C314" s="9" t="s">
        <v>2190</v>
      </c>
      <c r="D314" s="9" t="s">
        <v>2191</v>
      </c>
      <c r="E314" s="8">
        <v>93512</v>
      </c>
      <c r="F314" s="9" t="s">
        <v>39</v>
      </c>
      <c r="G314" s="9" t="s">
        <v>2192</v>
      </c>
      <c r="H314" s="8">
        <v>627243961</v>
      </c>
      <c r="I314" s="8">
        <v>54</v>
      </c>
      <c r="J314" s="8">
        <v>84</v>
      </c>
      <c r="K314" s="8">
        <v>102</v>
      </c>
      <c r="L314" s="9" t="s">
        <v>982</v>
      </c>
      <c r="M314" s="9" t="s">
        <v>993</v>
      </c>
      <c r="N314" s="8">
        <v>0</v>
      </c>
      <c r="O314" s="8">
        <v>7</v>
      </c>
      <c r="P314" s="8">
        <v>3</v>
      </c>
      <c r="Q314" s="8" t="str">
        <f>VLOOKUP(patient[[#This Row],[ID_mutuelle]],mutuelle[],2,FALSE)</f>
        <v>APIVIA MUTUELLE</v>
      </c>
    </row>
    <row r="315" spans="1:17" x14ac:dyDescent="0.3">
      <c r="A315" s="8">
        <v>646</v>
      </c>
      <c r="B315" s="9" t="s">
        <v>2193</v>
      </c>
      <c r="C315" s="9" t="s">
        <v>2194</v>
      </c>
      <c r="D315" s="9" t="s">
        <v>2195</v>
      </c>
      <c r="E315" s="8">
        <v>78180</v>
      </c>
      <c r="F315" s="9" t="s">
        <v>213</v>
      </c>
      <c r="G315" s="9" t="s">
        <v>2196</v>
      </c>
      <c r="H315" s="8">
        <v>617311103</v>
      </c>
      <c r="I315" s="8">
        <v>84</v>
      </c>
      <c r="J315" s="8">
        <v>128</v>
      </c>
      <c r="K315" s="8">
        <v>111</v>
      </c>
      <c r="L315" s="9" t="s">
        <v>987</v>
      </c>
      <c r="M315" s="9" t="s">
        <v>993</v>
      </c>
      <c r="N315" s="8">
        <v>1</v>
      </c>
      <c r="O315" s="8">
        <v>262</v>
      </c>
      <c r="P315" s="8">
        <v>3</v>
      </c>
      <c r="Q315" s="8" t="str">
        <f>VLOOKUP(patient[[#This Row],[ID_mutuelle]],mutuelle[],2,FALSE)</f>
        <v>TUTELAIRE</v>
      </c>
    </row>
    <row r="316" spans="1:17" x14ac:dyDescent="0.3">
      <c r="A316" s="8">
        <v>647</v>
      </c>
      <c r="B316" s="9" t="s">
        <v>2197</v>
      </c>
      <c r="C316" s="9" t="s">
        <v>2198</v>
      </c>
      <c r="D316" s="9" t="s">
        <v>2199</v>
      </c>
      <c r="E316" s="8">
        <v>93457</v>
      </c>
      <c r="F316" s="9" t="s">
        <v>208</v>
      </c>
      <c r="G316" s="9" t="s">
        <v>2200</v>
      </c>
      <c r="H316" s="8">
        <v>629979694</v>
      </c>
      <c r="I316" s="8">
        <v>68</v>
      </c>
      <c r="J316" s="8">
        <v>141</v>
      </c>
      <c r="K316" s="8">
        <v>163</v>
      </c>
      <c r="L316" s="9" t="s">
        <v>987</v>
      </c>
      <c r="M316" s="9" t="s">
        <v>1077</v>
      </c>
      <c r="N316" s="8">
        <v>1</v>
      </c>
      <c r="O316" s="8">
        <v>245</v>
      </c>
      <c r="P316" s="8">
        <v>2</v>
      </c>
      <c r="Q316" s="8" t="str">
        <f>VLOOKUP(patient[[#This Row],[ID_mutuelle]],mutuelle[],2,FALSE)</f>
        <v>SANTEMUT ROANNE</v>
      </c>
    </row>
    <row r="317" spans="1:17" x14ac:dyDescent="0.3">
      <c r="A317" s="8">
        <v>648</v>
      </c>
      <c r="B317" s="9" t="s">
        <v>2201</v>
      </c>
      <c r="C317" s="9" t="s">
        <v>2202</v>
      </c>
      <c r="D317" s="9" t="s">
        <v>2203</v>
      </c>
      <c r="E317" s="8">
        <v>92381</v>
      </c>
      <c r="F317" s="9" t="s">
        <v>218</v>
      </c>
      <c r="G317" s="9" t="s">
        <v>2204</v>
      </c>
      <c r="H317" s="8">
        <v>661462468</v>
      </c>
      <c r="I317" s="8">
        <v>65</v>
      </c>
      <c r="J317" s="8">
        <v>123</v>
      </c>
      <c r="K317" s="8">
        <v>213</v>
      </c>
      <c r="L317" s="9" t="s">
        <v>982</v>
      </c>
      <c r="M317" s="9" t="s">
        <v>998</v>
      </c>
      <c r="N317" s="8">
        <v>0</v>
      </c>
      <c r="O317" s="8">
        <v>194</v>
      </c>
      <c r="P317" s="8">
        <v>3</v>
      </c>
      <c r="Q317" s="8" t="str">
        <f>VLOOKUP(patient[[#This Row],[ID_mutuelle]],mutuelle[],2,FALSE)</f>
        <v>MUTUELLE INTERPROFESSIONNELLE DE PREVOYANCE</v>
      </c>
    </row>
    <row r="318" spans="1:17" x14ac:dyDescent="0.3">
      <c r="A318" s="8">
        <v>649</v>
      </c>
      <c r="B318" s="9" t="s">
        <v>2205</v>
      </c>
      <c r="C318" s="9" t="s">
        <v>2206</v>
      </c>
      <c r="D318" s="9" t="s">
        <v>2207</v>
      </c>
      <c r="E318" s="8">
        <v>92940</v>
      </c>
      <c r="F318" s="9" t="s">
        <v>162</v>
      </c>
      <c r="G318" s="9" t="s">
        <v>2208</v>
      </c>
      <c r="H318" s="8">
        <v>645048403</v>
      </c>
      <c r="I318" s="8">
        <v>87</v>
      </c>
      <c r="J318" s="8">
        <v>76</v>
      </c>
      <c r="K318" s="8">
        <v>147</v>
      </c>
      <c r="L318" s="9" t="s">
        <v>987</v>
      </c>
      <c r="M318" s="9" t="s">
        <v>993</v>
      </c>
      <c r="N318" s="8">
        <v>1</v>
      </c>
      <c r="O318" s="8">
        <v>75</v>
      </c>
      <c r="P318" s="8">
        <v>3</v>
      </c>
      <c r="Q318" s="8" t="str">
        <f>VLOOKUP(patient[[#This Row],[ID_mutuelle]],mutuelle[],2,FALSE)</f>
        <v>MUTUELLE APREVA</v>
      </c>
    </row>
    <row r="319" spans="1:17" x14ac:dyDescent="0.3">
      <c r="A319" s="8">
        <v>650</v>
      </c>
      <c r="B319" s="9" t="s">
        <v>2209</v>
      </c>
      <c r="C319" s="9" t="s">
        <v>2210</v>
      </c>
      <c r="D319" s="9" t="s">
        <v>2211</v>
      </c>
      <c r="E319" s="8">
        <v>75853</v>
      </c>
      <c r="F319" s="9" t="s">
        <v>257</v>
      </c>
      <c r="G319" s="9" t="s">
        <v>2212</v>
      </c>
      <c r="H319" s="8">
        <v>615026625</v>
      </c>
      <c r="I319" s="8">
        <v>90</v>
      </c>
      <c r="J319" s="8">
        <v>76</v>
      </c>
      <c r="K319" s="8">
        <v>221</v>
      </c>
      <c r="L319" s="9" t="s">
        <v>982</v>
      </c>
      <c r="M319" s="9" t="s">
        <v>1045</v>
      </c>
      <c r="N319" s="8">
        <v>1</v>
      </c>
      <c r="O319" s="8">
        <v>48</v>
      </c>
      <c r="P319" s="8">
        <v>3</v>
      </c>
      <c r="Q319" s="8" t="str">
        <f>VLOOKUP(patient[[#This Row],[ID_mutuelle]],mutuelle[],2,FALSE)</f>
        <v>MACIF MUTUALITE</v>
      </c>
    </row>
    <row r="320" spans="1:17" x14ac:dyDescent="0.3">
      <c r="A320" s="8">
        <v>651</v>
      </c>
      <c r="B320" s="9" t="s">
        <v>2213</v>
      </c>
      <c r="C320" s="9" t="s">
        <v>2214</v>
      </c>
      <c r="D320" s="9" t="s">
        <v>2215</v>
      </c>
      <c r="E320" s="8">
        <v>78576</v>
      </c>
      <c r="F320" s="9" t="s">
        <v>208</v>
      </c>
      <c r="G320" s="9" t="s">
        <v>2216</v>
      </c>
      <c r="H320" s="8">
        <v>648425448</v>
      </c>
      <c r="I320" s="8">
        <v>25</v>
      </c>
      <c r="J320" s="8">
        <v>66</v>
      </c>
      <c r="K320" s="8">
        <v>106</v>
      </c>
      <c r="L320" s="9" t="s">
        <v>982</v>
      </c>
      <c r="M320" s="9" t="s">
        <v>1032</v>
      </c>
      <c r="N320" s="8">
        <v>1</v>
      </c>
      <c r="O320" s="8">
        <v>107</v>
      </c>
      <c r="P320" s="8">
        <v>1</v>
      </c>
      <c r="Q320" s="8" t="str">
        <f>VLOOKUP(patient[[#This Row],[ID_mutuelle]],mutuelle[],2,FALSE)</f>
        <v>MUTUELLE DE LA DEPECHE DU MIDI</v>
      </c>
    </row>
    <row r="321" spans="1:17" x14ac:dyDescent="0.3">
      <c r="A321" s="8">
        <v>652</v>
      </c>
      <c r="B321" s="9" t="s">
        <v>2217</v>
      </c>
      <c r="C321" s="9" t="s">
        <v>2218</v>
      </c>
      <c r="D321" s="9" t="s">
        <v>2219</v>
      </c>
      <c r="E321" s="8">
        <v>95115</v>
      </c>
      <c r="F321" s="9" t="s">
        <v>477</v>
      </c>
      <c r="G321" s="9" t="s">
        <v>2220</v>
      </c>
      <c r="H321" s="8">
        <v>674203878</v>
      </c>
      <c r="I321" s="8">
        <v>45</v>
      </c>
      <c r="J321" s="8">
        <v>72</v>
      </c>
      <c r="K321" s="8">
        <v>217</v>
      </c>
      <c r="L321" s="9" t="s">
        <v>982</v>
      </c>
      <c r="M321" s="9" t="s">
        <v>993</v>
      </c>
      <c r="N321" s="8">
        <v>0</v>
      </c>
      <c r="O321" s="8">
        <v>200</v>
      </c>
      <c r="P321" s="8">
        <v>2</v>
      </c>
      <c r="Q321" s="8" t="str">
        <f>VLOOKUP(patient[[#This Row],[ID_mutuelle]],mutuelle[],2,FALSE)</f>
        <v>MUTUELLE LES MENAGES PREVOYANTS</v>
      </c>
    </row>
    <row r="322" spans="1:17" x14ac:dyDescent="0.3">
      <c r="A322" s="8">
        <v>653</v>
      </c>
      <c r="B322" s="9" t="s">
        <v>2221</v>
      </c>
      <c r="C322" s="9" t="s">
        <v>2222</v>
      </c>
      <c r="D322" s="9" t="s">
        <v>2223</v>
      </c>
      <c r="E322" s="8">
        <v>75909</v>
      </c>
      <c r="F322" s="9" t="s">
        <v>194</v>
      </c>
      <c r="G322" s="9" t="s">
        <v>2224</v>
      </c>
      <c r="H322" s="8">
        <v>623780505</v>
      </c>
      <c r="I322" s="8">
        <v>28</v>
      </c>
      <c r="J322" s="8">
        <v>106</v>
      </c>
      <c r="K322" s="8">
        <v>218</v>
      </c>
      <c r="L322" s="9" t="s">
        <v>982</v>
      </c>
      <c r="M322" s="9" t="s">
        <v>993</v>
      </c>
      <c r="N322" s="8">
        <v>0</v>
      </c>
      <c r="O322" s="8">
        <v>253</v>
      </c>
      <c r="P322" s="8">
        <v>3</v>
      </c>
      <c r="Q322" s="8" t="str">
        <f>VLOOKUP(patient[[#This Row],[ID_mutuelle]],mutuelle[],2,FALSE)</f>
        <v>SOCIETE MUTUALISTE DU SALEVE</v>
      </c>
    </row>
    <row r="323" spans="1:17" x14ac:dyDescent="0.3">
      <c r="A323" s="8">
        <v>654</v>
      </c>
      <c r="B323" s="9" t="s">
        <v>2225</v>
      </c>
      <c r="C323" s="9" t="s">
        <v>2226</v>
      </c>
      <c r="D323" s="9" t="s">
        <v>2227</v>
      </c>
      <c r="E323" s="8">
        <v>75708</v>
      </c>
      <c r="F323" s="9" t="s">
        <v>368</v>
      </c>
      <c r="G323" s="9" t="s">
        <v>2228</v>
      </c>
      <c r="H323" s="8">
        <v>616678879</v>
      </c>
      <c r="I323" s="8">
        <v>66</v>
      </c>
      <c r="J323" s="8">
        <v>24</v>
      </c>
      <c r="K323" s="8">
        <v>93</v>
      </c>
      <c r="L323" s="9" t="s">
        <v>987</v>
      </c>
      <c r="M323" s="9" t="s">
        <v>993</v>
      </c>
      <c r="N323" s="8">
        <v>1</v>
      </c>
      <c r="O323" s="8">
        <v>98</v>
      </c>
      <c r="P323" s="8">
        <v>2</v>
      </c>
      <c r="Q323" s="8" t="str">
        <f>VLOOKUP(patient[[#This Row],[ID_mutuelle]],mutuelle[],2,FALSE)</f>
        <v>MUTUELLE DE FRANCE LOIRE FOREZ</v>
      </c>
    </row>
    <row r="324" spans="1:17" x14ac:dyDescent="0.3">
      <c r="A324" s="8">
        <v>655</v>
      </c>
      <c r="B324" s="9" t="s">
        <v>2229</v>
      </c>
      <c r="C324" s="9" t="s">
        <v>2230</v>
      </c>
      <c r="D324" s="9" t="s">
        <v>2231</v>
      </c>
      <c r="E324" s="8">
        <v>91790</v>
      </c>
      <c r="F324" s="9" t="s">
        <v>83</v>
      </c>
      <c r="G324" s="9" t="s">
        <v>2232</v>
      </c>
      <c r="H324" s="8">
        <v>665834426</v>
      </c>
      <c r="I324" s="8">
        <v>96</v>
      </c>
      <c r="J324" s="8">
        <v>23</v>
      </c>
      <c r="K324" s="8">
        <v>168</v>
      </c>
      <c r="L324" s="9" t="s">
        <v>982</v>
      </c>
      <c r="M324" s="9" t="s">
        <v>988</v>
      </c>
      <c r="N324" s="8">
        <v>0</v>
      </c>
      <c r="O324" s="8">
        <v>120</v>
      </c>
      <c r="P324" s="8">
        <v>3</v>
      </c>
      <c r="Q324" s="8" t="str">
        <f>VLOOKUP(patient[[#This Row],[ID_mutuelle]],mutuelle[],2,FALSE)</f>
        <v>MUTUELLE DES CHAMBRES DE COMMERCE ET D'INDUSTRIE</v>
      </c>
    </row>
    <row r="325" spans="1:17" x14ac:dyDescent="0.3">
      <c r="A325" s="8">
        <v>656</v>
      </c>
      <c r="B325" s="9" t="s">
        <v>2233</v>
      </c>
      <c r="C325" s="9" t="s">
        <v>2234</v>
      </c>
      <c r="D325" s="9" t="s">
        <v>2235</v>
      </c>
      <c r="E325" s="8">
        <v>95154</v>
      </c>
      <c r="F325" s="9" t="s">
        <v>168</v>
      </c>
      <c r="G325" s="9" t="s">
        <v>2236</v>
      </c>
      <c r="H325" s="8">
        <v>628424157</v>
      </c>
      <c r="I325" s="8">
        <v>45</v>
      </c>
      <c r="J325" s="8">
        <v>44</v>
      </c>
      <c r="K325" s="8">
        <v>104</v>
      </c>
      <c r="L325" s="9" t="s">
        <v>987</v>
      </c>
      <c r="M325" s="9" t="s">
        <v>1077</v>
      </c>
      <c r="N325" s="8">
        <v>0</v>
      </c>
      <c r="O325" s="8">
        <v>53</v>
      </c>
      <c r="P325" s="8">
        <v>3</v>
      </c>
      <c r="Q325" s="8" t="str">
        <f>VLOOKUP(patient[[#This Row],[ID_mutuelle]],mutuelle[],2,FALSE)</f>
        <v>MFPRECAUTION</v>
      </c>
    </row>
    <row r="326" spans="1:17" x14ac:dyDescent="0.3">
      <c r="A326" s="8">
        <v>657</v>
      </c>
      <c r="B326" s="9" t="s">
        <v>2237</v>
      </c>
      <c r="C326" s="9" t="s">
        <v>2238</v>
      </c>
      <c r="D326" s="9" t="s">
        <v>2239</v>
      </c>
      <c r="E326" s="8">
        <v>93264</v>
      </c>
      <c r="F326" s="9" t="s">
        <v>368</v>
      </c>
      <c r="G326" s="9" t="s">
        <v>2240</v>
      </c>
      <c r="H326" s="8">
        <v>618918105</v>
      </c>
      <c r="I326" s="8">
        <v>48</v>
      </c>
      <c r="J326" s="8">
        <v>119</v>
      </c>
      <c r="K326" s="8">
        <v>122</v>
      </c>
      <c r="L326" s="9" t="s">
        <v>987</v>
      </c>
      <c r="M326" s="9" t="s">
        <v>1077</v>
      </c>
      <c r="N326" s="8">
        <v>1</v>
      </c>
      <c r="O326" s="8">
        <v>46</v>
      </c>
      <c r="P326" s="8">
        <v>2</v>
      </c>
      <c r="Q326" s="8" t="str">
        <f>VLOOKUP(patient[[#This Row],[ID_mutuelle]],mutuelle[],2,FALSE)</f>
        <v>LAMIE MUTUELLE</v>
      </c>
    </row>
    <row r="327" spans="1:17" x14ac:dyDescent="0.3">
      <c r="A327" s="8">
        <v>658</v>
      </c>
      <c r="B327" s="9" t="s">
        <v>351</v>
      </c>
      <c r="C327" s="9" t="s">
        <v>2241</v>
      </c>
      <c r="D327" s="9" t="s">
        <v>2242</v>
      </c>
      <c r="E327" s="8">
        <v>91812</v>
      </c>
      <c r="F327" s="9" t="s">
        <v>32</v>
      </c>
      <c r="G327" s="9" t="s">
        <v>2243</v>
      </c>
      <c r="H327" s="8">
        <v>631908712</v>
      </c>
      <c r="I327" s="8">
        <v>11</v>
      </c>
      <c r="J327" s="8">
        <v>56</v>
      </c>
      <c r="K327" s="8">
        <v>220</v>
      </c>
      <c r="L327" s="9" t="s">
        <v>982</v>
      </c>
      <c r="M327" s="9" t="s">
        <v>1045</v>
      </c>
      <c r="N327" s="8">
        <v>0</v>
      </c>
      <c r="O327" s="8">
        <v>213</v>
      </c>
      <c r="P327" s="8">
        <v>1</v>
      </c>
      <c r="Q327" s="8" t="str">
        <f>VLOOKUP(patient[[#This Row],[ID_mutuelle]],mutuelle[],2,FALSE)</f>
        <v>MUTUELLE NATIONALE DES PERSONNELS AIR FRANCE</v>
      </c>
    </row>
    <row r="328" spans="1:17" x14ac:dyDescent="0.3">
      <c r="A328" s="8">
        <v>659</v>
      </c>
      <c r="B328" s="9" t="s">
        <v>2244</v>
      </c>
      <c r="C328" s="9" t="s">
        <v>2245</v>
      </c>
      <c r="D328" s="9" t="s">
        <v>2246</v>
      </c>
      <c r="E328" s="8">
        <v>92372</v>
      </c>
      <c r="F328" s="9" t="s">
        <v>477</v>
      </c>
      <c r="G328" s="9" t="s">
        <v>2247</v>
      </c>
      <c r="H328" s="8">
        <v>687133959</v>
      </c>
      <c r="I328" s="8">
        <v>80</v>
      </c>
      <c r="J328" s="8">
        <v>79</v>
      </c>
      <c r="K328" s="8">
        <v>144</v>
      </c>
      <c r="L328" s="9" t="s">
        <v>982</v>
      </c>
      <c r="M328" s="9" t="s">
        <v>1077</v>
      </c>
      <c r="N328" s="8">
        <v>0</v>
      </c>
      <c r="O328" s="8">
        <v>238</v>
      </c>
      <c r="P328" s="8">
        <v>3</v>
      </c>
      <c r="Q328" s="8" t="str">
        <f>VLOOKUP(patient[[#This Row],[ID_mutuelle]],mutuelle[],2,FALSE)</f>
        <v>NYMPHEA SANTE</v>
      </c>
    </row>
    <row r="329" spans="1:17" x14ac:dyDescent="0.3">
      <c r="A329" s="8">
        <v>660</v>
      </c>
      <c r="B329" s="9" t="s">
        <v>2248</v>
      </c>
      <c r="C329" s="9" t="s">
        <v>2249</v>
      </c>
      <c r="D329" s="9" t="s">
        <v>2250</v>
      </c>
      <c r="E329" s="8">
        <v>78129</v>
      </c>
      <c r="F329" s="9" t="s">
        <v>257</v>
      </c>
      <c r="G329" s="9" t="s">
        <v>2251</v>
      </c>
      <c r="H329" s="8">
        <v>637331436</v>
      </c>
      <c r="I329" s="8">
        <v>24</v>
      </c>
      <c r="J329" s="8">
        <v>66</v>
      </c>
      <c r="K329" s="8">
        <v>217</v>
      </c>
      <c r="L329" s="9" t="s">
        <v>987</v>
      </c>
      <c r="M329" s="9" t="s">
        <v>1032</v>
      </c>
      <c r="N329" s="8">
        <v>0</v>
      </c>
      <c r="O329" s="8">
        <v>191</v>
      </c>
      <c r="P329" s="8">
        <v>1</v>
      </c>
      <c r="Q329" s="8" t="str">
        <f>VLOOKUP(patient[[#This Row],[ID_mutuelle]],mutuelle[],2,FALSE)</f>
        <v>MUTUELLE INTERGROUPES POLIET ET CIMENT FRANCAIS</v>
      </c>
    </row>
    <row r="330" spans="1:17" x14ac:dyDescent="0.3">
      <c r="A330" s="8">
        <v>661</v>
      </c>
      <c r="B330" s="9" t="s">
        <v>2252</v>
      </c>
      <c r="C330" s="9" t="s">
        <v>2253</v>
      </c>
      <c r="D330" s="9" t="s">
        <v>2254</v>
      </c>
      <c r="E330" s="8">
        <v>78977</v>
      </c>
      <c r="F330" s="9" t="s">
        <v>39</v>
      </c>
      <c r="G330" s="9" t="s">
        <v>2255</v>
      </c>
      <c r="H330" s="8">
        <v>666544555</v>
      </c>
      <c r="I330" s="8">
        <v>25</v>
      </c>
      <c r="J330" s="8">
        <v>43</v>
      </c>
      <c r="K330" s="8">
        <v>224</v>
      </c>
      <c r="L330" s="9" t="s">
        <v>987</v>
      </c>
      <c r="M330" s="9" t="s">
        <v>993</v>
      </c>
      <c r="N330" s="8">
        <v>0</v>
      </c>
      <c r="O330" s="8">
        <v>170</v>
      </c>
      <c r="P330" s="8">
        <v>2</v>
      </c>
      <c r="Q330" s="8" t="str">
        <f>VLOOKUP(patient[[#This Row],[ID_mutuelle]],mutuelle[],2,FALSE)</f>
        <v>MUTUELLE EPC</v>
      </c>
    </row>
    <row r="331" spans="1:17" x14ac:dyDescent="0.3">
      <c r="A331" s="8">
        <v>662</v>
      </c>
      <c r="B331" s="9" t="s">
        <v>2256</v>
      </c>
      <c r="C331" s="9" t="s">
        <v>2257</v>
      </c>
      <c r="D331" s="9" t="s">
        <v>2258</v>
      </c>
      <c r="E331" s="8">
        <v>78688</v>
      </c>
      <c r="F331" s="9" t="s">
        <v>269</v>
      </c>
      <c r="G331" s="9" t="s">
        <v>2259</v>
      </c>
      <c r="H331" s="8">
        <v>698117740</v>
      </c>
      <c r="I331" s="8">
        <v>71</v>
      </c>
      <c r="J331" s="8">
        <v>92</v>
      </c>
      <c r="K331" s="8">
        <v>150</v>
      </c>
      <c r="L331" s="9" t="s">
        <v>987</v>
      </c>
      <c r="M331" s="9" t="s">
        <v>993</v>
      </c>
      <c r="N331" s="8">
        <v>1</v>
      </c>
      <c r="O331" s="8">
        <v>160</v>
      </c>
      <c r="P331" s="8">
        <v>2</v>
      </c>
      <c r="Q331" s="8" t="str">
        <f>VLOOKUP(patient[[#This Row],[ID_mutuelle]],mutuelle[],2,FALSE)</f>
        <v>MUTUELLE DU PERSONNEL DU CHU</v>
      </c>
    </row>
    <row r="332" spans="1:17" x14ac:dyDescent="0.3">
      <c r="A332" s="8">
        <v>663</v>
      </c>
      <c r="B332" s="9" t="s">
        <v>2260</v>
      </c>
      <c r="C332" s="9" t="s">
        <v>2261</v>
      </c>
      <c r="D332" s="9" t="s">
        <v>2262</v>
      </c>
      <c r="E332" s="8">
        <v>75015</v>
      </c>
      <c r="F332" s="9" t="s">
        <v>582</v>
      </c>
      <c r="G332" s="9" t="s">
        <v>2263</v>
      </c>
      <c r="H332" s="8">
        <v>603846799</v>
      </c>
      <c r="I332" s="8">
        <v>21</v>
      </c>
      <c r="J332" s="8">
        <v>60</v>
      </c>
      <c r="K332" s="8">
        <v>178</v>
      </c>
      <c r="L332" s="9" t="s">
        <v>982</v>
      </c>
      <c r="M332" s="9" t="s">
        <v>2264</v>
      </c>
      <c r="N332" s="8">
        <v>1</v>
      </c>
      <c r="O332" s="8">
        <v>23</v>
      </c>
      <c r="P332" s="8">
        <v>1</v>
      </c>
      <c r="Q332" s="8" t="str">
        <f>VLOOKUP(patient[[#This Row],[ID_mutuelle]],mutuelle[],2,FALSE)</f>
        <v>GARANCE</v>
      </c>
    </row>
    <row r="333" spans="1:17" x14ac:dyDescent="0.3">
      <c r="A333" s="8">
        <v>664</v>
      </c>
      <c r="B333" s="9" t="s">
        <v>2765</v>
      </c>
      <c r="C333" s="9" t="s">
        <v>2766</v>
      </c>
      <c r="D333" s="9" t="s">
        <v>2767</v>
      </c>
      <c r="E333" s="8">
        <v>94880</v>
      </c>
      <c r="F333" s="9" t="s">
        <v>2768</v>
      </c>
      <c r="G333" s="9" t="s">
        <v>2769</v>
      </c>
      <c r="H333" s="8">
        <v>696969699</v>
      </c>
      <c r="I333" s="8">
        <v>21</v>
      </c>
      <c r="J333" s="8">
        <v>90</v>
      </c>
      <c r="K333" s="8">
        <v>167</v>
      </c>
      <c r="L333" s="9" t="s">
        <v>987</v>
      </c>
      <c r="M333" s="9" t="s">
        <v>2770</v>
      </c>
      <c r="N333" s="8">
        <v>1</v>
      </c>
      <c r="O333" s="8">
        <v>191</v>
      </c>
      <c r="P333" s="8">
        <v>1</v>
      </c>
      <c r="Q333" s="8" t="str">
        <f>VLOOKUP(patient[[#This Row],[ID_mutuelle]],mutuelle[],2,FALSE)</f>
        <v>MUTUELLE INTERGROUPES POLIET ET CIMENT FRANCAIS</v>
      </c>
    </row>
    <row r="334" spans="1:17" x14ac:dyDescent="0.3">
      <c r="A334" s="8">
        <v>665</v>
      </c>
      <c r="B334" s="9" t="s">
        <v>2773</v>
      </c>
      <c r="C334" s="9" t="s">
        <v>1464</v>
      </c>
      <c r="D334" s="9" t="s">
        <v>2775</v>
      </c>
      <c r="E334" s="8">
        <v>62548</v>
      </c>
      <c r="F334" s="9" t="s">
        <v>2776</v>
      </c>
      <c r="G334" s="9" t="s">
        <v>2774</v>
      </c>
      <c r="H334" s="8">
        <v>625487936</v>
      </c>
      <c r="I334" s="8">
        <v>16</v>
      </c>
      <c r="J334" s="8">
        <v>80.5</v>
      </c>
      <c r="K334" s="8">
        <v>185</v>
      </c>
      <c r="L334" s="9" t="s">
        <v>982</v>
      </c>
      <c r="M334" s="9" t="s">
        <v>2770</v>
      </c>
      <c r="N334" s="8">
        <v>1</v>
      </c>
      <c r="O334" s="8">
        <v>4</v>
      </c>
      <c r="P334" s="8">
        <v>1</v>
      </c>
      <c r="Q334" s="9" t="str">
        <f>VLOOKUP(patient[[#This Row],[ID_mutuelle]],mutuelle[],2,FALSE)</f>
        <v>AMELLIS MUTUELLES</v>
      </c>
    </row>
    <row r="335" spans="1:17" x14ac:dyDescent="0.3">
      <c r="A335" s="8"/>
      <c r="B335" s="9"/>
      <c r="C335" s="9"/>
      <c r="D335" s="9"/>
      <c r="E335" s="8"/>
      <c r="F335" s="9"/>
      <c r="G335" s="9"/>
      <c r="H335" s="8"/>
      <c r="I335" s="8"/>
      <c r="J335" s="8"/>
      <c r="K335" s="8"/>
      <c r="L335" s="9"/>
      <c r="M335" s="9"/>
      <c r="N335" s="8"/>
      <c r="O335" s="8"/>
      <c r="P335" s="8"/>
      <c r="Q335" s="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N287"/>
  <sheetViews>
    <sheetView zoomScale="80" zoomScaleNormal="80" workbookViewId="0">
      <pane ySplit="1" topLeftCell="A2" activePane="bottomLeft" state="frozen"/>
      <selection pane="bottomLeft" activeCell="E37" sqref="E37"/>
    </sheetView>
  </sheetViews>
  <sheetFormatPr baseColWidth="10" defaultRowHeight="14.4" x14ac:dyDescent="0.3"/>
  <cols>
    <col min="1" max="1" width="18" bestFit="1" customWidth="1"/>
    <col min="2" max="2" width="20.44140625" bestFit="1" customWidth="1"/>
    <col min="3" max="3" width="23.33203125" bestFit="1" customWidth="1"/>
    <col min="4" max="4" width="21.6640625" bestFit="1" customWidth="1"/>
    <col min="5" max="5" width="31" bestFit="1" customWidth="1"/>
    <col min="6" max="6" width="20.5546875" bestFit="1" customWidth="1"/>
    <col min="7" max="7" width="22.33203125" bestFit="1" customWidth="1"/>
    <col min="8" max="8" width="25.6640625" bestFit="1" customWidth="1"/>
    <col min="9" max="9" width="43.33203125" bestFit="1" customWidth="1"/>
    <col min="10" max="10" width="27.33203125" bestFit="1" customWidth="1"/>
    <col min="11" max="11" width="23.5546875" bestFit="1" customWidth="1"/>
    <col min="12" max="12" width="21.33203125" bestFit="1" customWidth="1"/>
    <col min="13" max="13" width="21.6640625" bestFit="1" customWidth="1"/>
    <col min="14" max="14" width="15.44140625" bestFit="1" customWidth="1"/>
  </cols>
  <sheetData>
    <row r="1" spans="1:14" x14ac:dyDescent="0.3">
      <c r="A1" s="8" t="s">
        <v>7</v>
      </c>
      <c r="B1" s="8" t="s">
        <v>8</v>
      </c>
      <c r="C1" s="8" t="s">
        <v>9</v>
      </c>
      <c r="D1" s="8" t="s">
        <v>2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</row>
    <row r="2" spans="1:14" x14ac:dyDescent="0.3">
      <c r="A2" s="8">
        <v>885</v>
      </c>
      <c r="B2" s="9" t="s">
        <v>28</v>
      </c>
      <c r="C2" s="9" t="s">
        <v>29</v>
      </c>
      <c r="D2" s="9" t="s">
        <v>22</v>
      </c>
      <c r="E2" s="9" t="s">
        <v>30</v>
      </c>
      <c r="F2" s="7">
        <v>41646</v>
      </c>
      <c r="G2" s="10">
        <v>5323</v>
      </c>
      <c r="H2" s="8">
        <v>694192954</v>
      </c>
      <c r="I2" s="9" t="s">
        <v>31</v>
      </c>
      <c r="J2" s="8">
        <v>75692</v>
      </c>
      <c r="K2" s="9" t="s">
        <v>32</v>
      </c>
      <c r="L2" s="9" t="s">
        <v>33</v>
      </c>
      <c r="M2" s="8">
        <v>1</v>
      </c>
      <c r="N2" s="9" t="s">
        <v>34</v>
      </c>
    </row>
    <row r="3" spans="1:14" x14ac:dyDescent="0.3">
      <c r="A3" s="8">
        <v>886</v>
      </c>
      <c r="B3" s="9" t="s">
        <v>35</v>
      </c>
      <c r="C3" s="9" t="s">
        <v>36</v>
      </c>
      <c r="D3" s="9" t="s">
        <v>22</v>
      </c>
      <c r="E3" s="9" t="s">
        <v>37</v>
      </c>
      <c r="F3" s="7">
        <v>40790</v>
      </c>
      <c r="G3" s="10">
        <v>4423</v>
      </c>
      <c r="H3" s="8">
        <v>684433226</v>
      </c>
      <c r="I3" s="9" t="s">
        <v>38</v>
      </c>
      <c r="J3" s="8">
        <v>75368</v>
      </c>
      <c r="K3" s="9" t="s">
        <v>39</v>
      </c>
      <c r="L3" s="9" t="s">
        <v>40</v>
      </c>
      <c r="M3" s="8">
        <v>3</v>
      </c>
      <c r="N3" s="9" t="s">
        <v>41</v>
      </c>
    </row>
    <row r="4" spans="1:14" x14ac:dyDescent="0.3">
      <c r="A4" s="8">
        <v>887</v>
      </c>
      <c r="B4" s="9" t="s">
        <v>42</v>
      </c>
      <c r="C4" s="9" t="s">
        <v>43</v>
      </c>
      <c r="D4" s="9" t="s">
        <v>22</v>
      </c>
      <c r="E4" s="9" t="s">
        <v>44</v>
      </c>
      <c r="F4" s="7">
        <v>42486</v>
      </c>
      <c r="G4" s="10">
        <v>2565</v>
      </c>
      <c r="H4" s="8">
        <v>686838320</v>
      </c>
      <c r="I4" s="9" t="s">
        <v>45</v>
      </c>
      <c r="J4" s="8">
        <v>95641</v>
      </c>
      <c r="K4" s="9" t="s">
        <v>46</v>
      </c>
      <c r="L4" s="9" t="s">
        <v>47</v>
      </c>
      <c r="M4" s="8">
        <v>3</v>
      </c>
      <c r="N4" s="9" t="s">
        <v>48</v>
      </c>
    </row>
    <row r="5" spans="1:14" x14ac:dyDescent="0.3">
      <c r="A5" s="8">
        <v>888</v>
      </c>
      <c r="B5" s="9" t="s">
        <v>49</v>
      </c>
      <c r="C5" s="9" t="s">
        <v>50</v>
      </c>
      <c r="D5" s="9" t="s">
        <v>22</v>
      </c>
      <c r="E5" s="9" t="s">
        <v>44</v>
      </c>
      <c r="F5" s="7">
        <v>40585</v>
      </c>
      <c r="G5" s="10">
        <v>4681</v>
      </c>
      <c r="H5" s="8">
        <v>663575324</v>
      </c>
      <c r="I5" s="9" t="s">
        <v>51</v>
      </c>
      <c r="J5" s="8">
        <v>92714</v>
      </c>
      <c r="K5" s="9" t="s">
        <v>52</v>
      </c>
      <c r="L5" s="9" t="s">
        <v>53</v>
      </c>
      <c r="M5" s="8">
        <v>2</v>
      </c>
      <c r="N5" s="9" t="s">
        <v>48</v>
      </c>
    </row>
    <row r="6" spans="1:14" x14ac:dyDescent="0.3">
      <c r="A6" s="8">
        <v>889</v>
      </c>
      <c r="B6" s="9" t="s">
        <v>54</v>
      </c>
      <c r="C6" s="9" t="s">
        <v>55</v>
      </c>
      <c r="D6" s="9" t="s">
        <v>22</v>
      </c>
      <c r="E6" s="9" t="s">
        <v>56</v>
      </c>
      <c r="F6" s="7">
        <v>41745</v>
      </c>
      <c r="G6" s="10">
        <v>7739</v>
      </c>
      <c r="H6" s="8">
        <v>682855406</v>
      </c>
      <c r="I6" s="9" t="s">
        <v>57</v>
      </c>
      <c r="J6" s="8">
        <v>78280</v>
      </c>
      <c r="K6" s="9" t="s">
        <v>58</v>
      </c>
      <c r="L6" s="9" t="s">
        <v>59</v>
      </c>
      <c r="M6" s="8">
        <v>1</v>
      </c>
      <c r="N6" s="9" t="s">
        <v>60</v>
      </c>
    </row>
    <row r="7" spans="1:14" x14ac:dyDescent="0.3">
      <c r="A7" s="8">
        <v>890</v>
      </c>
      <c r="B7" s="9" t="s">
        <v>61</v>
      </c>
      <c r="C7" s="9" t="s">
        <v>62</v>
      </c>
      <c r="D7" s="9" t="s">
        <v>22</v>
      </c>
      <c r="E7" s="9" t="s">
        <v>63</v>
      </c>
      <c r="F7" s="7">
        <v>42714</v>
      </c>
      <c r="G7" s="10">
        <v>1689</v>
      </c>
      <c r="H7" s="8">
        <v>624449374</v>
      </c>
      <c r="I7" s="9" t="s">
        <v>64</v>
      </c>
      <c r="J7" s="8">
        <v>75157</v>
      </c>
      <c r="K7" s="9" t="s">
        <v>65</v>
      </c>
      <c r="L7" s="9" t="s">
        <v>66</v>
      </c>
      <c r="M7" s="8">
        <v>2</v>
      </c>
      <c r="N7" s="9" t="s">
        <v>67</v>
      </c>
    </row>
    <row r="8" spans="1:14" x14ac:dyDescent="0.3">
      <c r="A8" s="8">
        <v>891</v>
      </c>
      <c r="B8" s="9" t="s">
        <v>68</v>
      </c>
      <c r="C8" s="9" t="s">
        <v>69</v>
      </c>
      <c r="D8" s="9" t="s">
        <v>22</v>
      </c>
      <c r="E8" s="9" t="s">
        <v>70</v>
      </c>
      <c r="F8" s="7">
        <v>42888</v>
      </c>
      <c r="G8" s="10">
        <v>6270</v>
      </c>
      <c r="H8" s="8">
        <v>650384366</v>
      </c>
      <c r="I8" s="9" t="s">
        <v>71</v>
      </c>
      <c r="J8" s="8">
        <v>91708</v>
      </c>
      <c r="K8" s="9" t="s">
        <v>46</v>
      </c>
      <c r="L8" s="9" t="s">
        <v>72</v>
      </c>
      <c r="M8" s="8">
        <v>2</v>
      </c>
      <c r="N8" s="9" t="s">
        <v>73</v>
      </c>
    </row>
    <row r="9" spans="1:14" x14ac:dyDescent="0.3">
      <c r="A9" s="8">
        <v>892</v>
      </c>
      <c r="B9" s="9" t="s">
        <v>74</v>
      </c>
      <c r="C9" s="9" t="s">
        <v>75</v>
      </c>
      <c r="D9" s="9" t="s">
        <v>22</v>
      </c>
      <c r="E9" s="9" t="s">
        <v>56</v>
      </c>
      <c r="F9" s="7">
        <v>41255</v>
      </c>
      <c r="G9" s="10">
        <v>1472</v>
      </c>
      <c r="H9" s="8">
        <v>697952187</v>
      </c>
      <c r="I9" s="9" t="s">
        <v>76</v>
      </c>
      <c r="J9" s="8">
        <v>95908</v>
      </c>
      <c r="K9" s="9" t="s">
        <v>77</v>
      </c>
      <c r="L9" s="9" t="s">
        <v>78</v>
      </c>
      <c r="M9" s="8">
        <v>3</v>
      </c>
      <c r="N9" s="9" t="s">
        <v>79</v>
      </c>
    </row>
    <row r="10" spans="1:14" x14ac:dyDescent="0.3">
      <c r="A10" s="8">
        <v>893</v>
      </c>
      <c r="B10" s="9" t="s">
        <v>80</v>
      </c>
      <c r="C10" s="9" t="s">
        <v>81</v>
      </c>
      <c r="D10" s="9" t="s">
        <v>22</v>
      </c>
      <c r="E10" s="9" t="s">
        <v>30</v>
      </c>
      <c r="F10" s="7">
        <v>40549</v>
      </c>
      <c r="G10" s="10">
        <v>1118</v>
      </c>
      <c r="H10" s="8">
        <v>630522941</v>
      </c>
      <c r="I10" s="9" t="s">
        <v>82</v>
      </c>
      <c r="J10" s="8">
        <v>75456</v>
      </c>
      <c r="K10" s="9" t="s">
        <v>83</v>
      </c>
      <c r="L10" s="9" t="s">
        <v>84</v>
      </c>
      <c r="M10" s="8">
        <v>1</v>
      </c>
      <c r="N10" s="9" t="s">
        <v>34</v>
      </c>
    </row>
    <row r="11" spans="1:14" x14ac:dyDescent="0.3">
      <c r="A11" s="8">
        <v>894</v>
      </c>
      <c r="B11" s="9" t="s">
        <v>85</v>
      </c>
      <c r="C11" s="9" t="s">
        <v>86</v>
      </c>
      <c r="D11" s="9" t="s">
        <v>22</v>
      </c>
      <c r="E11" s="9" t="s">
        <v>87</v>
      </c>
      <c r="F11" s="7">
        <v>42811</v>
      </c>
      <c r="G11" s="10">
        <v>2721</v>
      </c>
      <c r="H11" s="8">
        <v>653739282</v>
      </c>
      <c r="I11" s="9" t="s">
        <v>88</v>
      </c>
      <c r="J11" s="8">
        <v>93765</v>
      </c>
      <c r="K11" s="9" t="s">
        <v>89</v>
      </c>
      <c r="L11" s="9" t="s">
        <v>90</v>
      </c>
      <c r="M11" s="8">
        <v>3</v>
      </c>
      <c r="N11" s="9" t="s">
        <v>91</v>
      </c>
    </row>
    <row r="12" spans="1:14" x14ac:dyDescent="0.3">
      <c r="A12" s="8">
        <v>895</v>
      </c>
      <c r="B12" s="9" t="s">
        <v>92</v>
      </c>
      <c r="C12" s="9" t="s">
        <v>93</v>
      </c>
      <c r="D12" s="9" t="s">
        <v>22</v>
      </c>
      <c r="E12" s="9" t="s">
        <v>70</v>
      </c>
      <c r="F12" s="7">
        <v>43414</v>
      </c>
      <c r="G12" s="10">
        <v>3346</v>
      </c>
      <c r="H12" s="8">
        <v>696286086</v>
      </c>
      <c r="I12" s="9" t="s">
        <v>94</v>
      </c>
      <c r="J12" s="8">
        <v>75273</v>
      </c>
      <c r="K12" s="9" t="s">
        <v>39</v>
      </c>
      <c r="L12" s="9" t="s">
        <v>95</v>
      </c>
      <c r="M12" s="8">
        <v>1</v>
      </c>
      <c r="N12" s="9" t="s">
        <v>96</v>
      </c>
    </row>
    <row r="13" spans="1:14" x14ac:dyDescent="0.3">
      <c r="A13" s="8">
        <v>896</v>
      </c>
      <c r="B13" s="9" t="s">
        <v>97</v>
      </c>
      <c r="C13" s="9" t="s">
        <v>98</v>
      </c>
      <c r="D13" s="9" t="s">
        <v>22</v>
      </c>
      <c r="E13" s="9" t="s">
        <v>37</v>
      </c>
      <c r="F13" s="7">
        <v>40804</v>
      </c>
      <c r="G13" s="10">
        <v>1230</v>
      </c>
      <c r="H13" s="8">
        <v>671131236</v>
      </c>
      <c r="I13" s="9" t="s">
        <v>99</v>
      </c>
      <c r="J13" s="8">
        <v>95410</v>
      </c>
      <c r="K13" s="9" t="s">
        <v>83</v>
      </c>
      <c r="L13" s="9" t="s">
        <v>100</v>
      </c>
      <c r="M13" s="8">
        <v>1</v>
      </c>
      <c r="N13" s="9" t="s">
        <v>101</v>
      </c>
    </row>
    <row r="14" spans="1:14" x14ac:dyDescent="0.3">
      <c r="A14" s="8">
        <v>897</v>
      </c>
      <c r="B14" s="9" t="s">
        <v>102</v>
      </c>
      <c r="C14" s="9" t="s">
        <v>103</v>
      </c>
      <c r="D14" s="9" t="s">
        <v>22</v>
      </c>
      <c r="E14" s="9" t="s">
        <v>87</v>
      </c>
      <c r="F14" s="7">
        <v>41572</v>
      </c>
      <c r="G14" s="10">
        <v>1358</v>
      </c>
      <c r="H14" s="8">
        <v>629568737</v>
      </c>
      <c r="I14" s="9" t="s">
        <v>104</v>
      </c>
      <c r="J14" s="8">
        <v>78627</v>
      </c>
      <c r="K14" s="9" t="s">
        <v>32</v>
      </c>
      <c r="L14" s="9" t="s">
        <v>105</v>
      </c>
      <c r="M14" s="8">
        <v>1</v>
      </c>
      <c r="N14" s="9" t="s">
        <v>67</v>
      </c>
    </row>
    <row r="15" spans="1:14" x14ac:dyDescent="0.3">
      <c r="A15" s="8">
        <v>898</v>
      </c>
      <c r="B15" s="9" t="s">
        <v>106</v>
      </c>
      <c r="C15" s="9" t="s">
        <v>107</v>
      </c>
      <c r="D15" s="9" t="s">
        <v>22</v>
      </c>
      <c r="E15" s="9" t="s">
        <v>56</v>
      </c>
      <c r="F15" s="7">
        <v>44036</v>
      </c>
      <c r="G15" s="10">
        <v>1625</v>
      </c>
      <c r="H15" s="8">
        <v>693867757</v>
      </c>
      <c r="I15" s="9" t="s">
        <v>108</v>
      </c>
      <c r="J15" s="8">
        <v>91474</v>
      </c>
      <c r="K15" s="9" t="s">
        <v>109</v>
      </c>
      <c r="L15" s="9" t="s">
        <v>110</v>
      </c>
      <c r="M15" s="8">
        <v>2</v>
      </c>
      <c r="N15" s="9" t="s">
        <v>79</v>
      </c>
    </row>
    <row r="16" spans="1:14" x14ac:dyDescent="0.3">
      <c r="A16" s="8">
        <v>899</v>
      </c>
      <c r="B16" s="9" t="s">
        <v>111</v>
      </c>
      <c r="C16" s="9" t="s">
        <v>112</v>
      </c>
      <c r="D16" s="9" t="s">
        <v>22</v>
      </c>
      <c r="E16" s="9" t="s">
        <v>37</v>
      </c>
      <c r="F16" s="7">
        <v>42077</v>
      </c>
      <c r="G16" s="10">
        <v>1787</v>
      </c>
      <c r="H16" s="8">
        <v>653095392</v>
      </c>
      <c r="I16" s="9" t="s">
        <v>113</v>
      </c>
      <c r="J16" s="8">
        <v>94418</v>
      </c>
      <c r="K16" s="9" t="s">
        <v>114</v>
      </c>
      <c r="L16" s="9" t="s">
        <v>115</v>
      </c>
      <c r="M16" s="8">
        <v>2</v>
      </c>
      <c r="N16" s="9" t="s">
        <v>41</v>
      </c>
    </row>
    <row r="17" spans="1:14" x14ac:dyDescent="0.3">
      <c r="A17" s="8">
        <v>901</v>
      </c>
      <c r="B17" s="9" t="s">
        <v>121</v>
      </c>
      <c r="C17" s="9" t="s">
        <v>122</v>
      </c>
      <c r="D17" s="9" t="s">
        <v>22</v>
      </c>
      <c r="E17" s="9" t="s">
        <v>56</v>
      </c>
      <c r="F17" s="7">
        <v>41256</v>
      </c>
      <c r="G17" s="10">
        <v>7287</v>
      </c>
      <c r="H17" s="8">
        <v>689065504</v>
      </c>
      <c r="I17" s="9" t="s">
        <v>123</v>
      </c>
      <c r="J17" s="8">
        <v>78510</v>
      </c>
      <c r="K17" s="9" t="s">
        <v>124</v>
      </c>
      <c r="L17" s="9" t="s">
        <v>125</v>
      </c>
      <c r="M17" s="8">
        <v>1</v>
      </c>
      <c r="N17" s="9" t="s">
        <v>79</v>
      </c>
    </row>
    <row r="18" spans="1:14" x14ac:dyDescent="0.3">
      <c r="A18" s="8">
        <v>902</v>
      </c>
      <c r="B18" s="9" t="s">
        <v>126</v>
      </c>
      <c r="C18" s="9" t="s">
        <v>127</v>
      </c>
      <c r="D18" s="9" t="s">
        <v>22</v>
      </c>
      <c r="E18" s="9" t="s">
        <v>44</v>
      </c>
      <c r="F18" s="7">
        <v>42688</v>
      </c>
      <c r="G18" s="10">
        <v>2393</v>
      </c>
      <c r="H18" s="8">
        <v>679132214</v>
      </c>
      <c r="I18" s="9" t="s">
        <v>128</v>
      </c>
      <c r="J18" s="8">
        <v>94876</v>
      </c>
      <c r="K18" s="9" t="s">
        <v>129</v>
      </c>
      <c r="L18" s="9" t="s">
        <v>130</v>
      </c>
      <c r="M18" s="8">
        <v>1</v>
      </c>
      <c r="N18" s="9" t="s">
        <v>131</v>
      </c>
    </row>
    <row r="19" spans="1:14" x14ac:dyDescent="0.3">
      <c r="A19" s="8">
        <v>903</v>
      </c>
      <c r="B19" s="9" t="s">
        <v>132</v>
      </c>
      <c r="C19" s="9" t="s">
        <v>133</v>
      </c>
      <c r="D19" s="9" t="s">
        <v>22</v>
      </c>
      <c r="E19" s="9" t="s">
        <v>37</v>
      </c>
      <c r="F19" s="7">
        <v>42085</v>
      </c>
      <c r="G19" s="10">
        <v>1613</v>
      </c>
      <c r="H19" s="8">
        <v>692092950</v>
      </c>
      <c r="I19" s="9" t="s">
        <v>134</v>
      </c>
      <c r="J19" s="8">
        <v>95374</v>
      </c>
      <c r="K19" s="9" t="s">
        <v>89</v>
      </c>
      <c r="L19" s="9" t="s">
        <v>135</v>
      </c>
      <c r="M19" s="8">
        <v>3</v>
      </c>
      <c r="N19" s="9" t="s">
        <v>41</v>
      </c>
    </row>
    <row r="20" spans="1:14" x14ac:dyDescent="0.3">
      <c r="A20" s="8">
        <v>904</v>
      </c>
      <c r="B20" s="9" t="s">
        <v>136</v>
      </c>
      <c r="C20" s="9" t="s">
        <v>137</v>
      </c>
      <c r="D20" s="9" t="s">
        <v>22</v>
      </c>
      <c r="E20" s="9" t="s">
        <v>138</v>
      </c>
      <c r="F20" s="7">
        <v>44049</v>
      </c>
      <c r="G20" s="10">
        <v>7150</v>
      </c>
      <c r="H20" s="8">
        <v>686196719</v>
      </c>
      <c r="I20" s="9" t="s">
        <v>139</v>
      </c>
      <c r="J20" s="8">
        <v>91735</v>
      </c>
      <c r="K20" s="9" t="s">
        <v>65</v>
      </c>
      <c r="L20" s="9" t="s">
        <v>140</v>
      </c>
      <c r="M20" s="8">
        <v>1</v>
      </c>
      <c r="N20" s="9" t="s">
        <v>41</v>
      </c>
    </row>
    <row r="21" spans="1:14" x14ac:dyDescent="0.3">
      <c r="A21" s="8">
        <v>905</v>
      </c>
      <c r="B21" s="9" t="s">
        <v>141</v>
      </c>
      <c r="C21" s="9" t="s">
        <v>142</v>
      </c>
      <c r="D21" s="9" t="s">
        <v>22</v>
      </c>
      <c r="E21" s="9" t="s">
        <v>63</v>
      </c>
      <c r="F21" s="7">
        <v>44077</v>
      </c>
      <c r="G21" s="10">
        <v>2374</v>
      </c>
      <c r="H21" s="8">
        <v>686699864</v>
      </c>
      <c r="I21" s="9" t="s">
        <v>143</v>
      </c>
      <c r="J21" s="8">
        <v>78471</v>
      </c>
      <c r="K21" s="9" t="s">
        <v>129</v>
      </c>
      <c r="L21" s="9" t="s">
        <v>144</v>
      </c>
      <c r="M21" s="8">
        <v>2</v>
      </c>
      <c r="N21" s="9" t="s">
        <v>145</v>
      </c>
    </row>
    <row r="22" spans="1:14" x14ac:dyDescent="0.3">
      <c r="A22" s="8">
        <v>906</v>
      </c>
      <c r="B22" s="9" t="s">
        <v>146</v>
      </c>
      <c r="C22" s="9" t="s">
        <v>147</v>
      </c>
      <c r="D22" s="9" t="s">
        <v>22</v>
      </c>
      <c r="E22" s="9" t="s">
        <v>30</v>
      </c>
      <c r="F22" s="7">
        <v>43501</v>
      </c>
      <c r="G22" s="10">
        <v>1466</v>
      </c>
      <c r="H22" s="8">
        <v>612371534</v>
      </c>
      <c r="I22" s="9" t="s">
        <v>148</v>
      </c>
      <c r="J22" s="8">
        <v>78829</v>
      </c>
      <c r="K22" s="9" t="s">
        <v>77</v>
      </c>
      <c r="L22" s="9" t="s">
        <v>149</v>
      </c>
      <c r="M22" s="8">
        <v>2</v>
      </c>
      <c r="N22" s="9" t="s">
        <v>150</v>
      </c>
    </row>
    <row r="23" spans="1:14" x14ac:dyDescent="0.3">
      <c r="A23" s="8">
        <v>907</v>
      </c>
      <c r="B23" s="9" t="s">
        <v>151</v>
      </c>
      <c r="C23" s="9" t="s">
        <v>152</v>
      </c>
      <c r="D23" s="9" t="s">
        <v>22</v>
      </c>
      <c r="E23" s="9" t="s">
        <v>63</v>
      </c>
      <c r="F23" s="7">
        <v>40613</v>
      </c>
      <c r="G23" s="10">
        <v>1971</v>
      </c>
      <c r="H23" s="8">
        <v>677591798</v>
      </c>
      <c r="I23" s="9" t="s">
        <v>153</v>
      </c>
      <c r="J23" s="8">
        <v>93282</v>
      </c>
      <c r="K23" s="9" t="s">
        <v>114</v>
      </c>
      <c r="L23" s="9" t="s">
        <v>154</v>
      </c>
      <c r="M23" s="8">
        <v>2</v>
      </c>
      <c r="N23" s="9" t="s">
        <v>60</v>
      </c>
    </row>
    <row r="24" spans="1:14" x14ac:dyDescent="0.3">
      <c r="A24" s="8">
        <v>908</v>
      </c>
      <c r="B24" s="9" t="s">
        <v>155</v>
      </c>
      <c r="C24" s="9" t="s">
        <v>156</v>
      </c>
      <c r="D24" s="9" t="s">
        <v>22</v>
      </c>
      <c r="E24" s="9" t="s">
        <v>138</v>
      </c>
      <c r="F24" s="7">
        <v>41099</v>
      </c>
      <c r="G24" s="10">
        <v>4549</v>
      </c>
      <c r="H24" s="8">
        <v>640935168</v>
      </c>
      <c r="I24" s="9" t="s">
        <v>157</v>
      </c>
      <c r="J24" s="8">
        <v>75767</v>
      </c>
      <c r="K24" s="9" t="s">
        <v>39</v>
      </c>
      <c r="L24" s="9" t="s">
        <v>158</v>
      </c>
      <c r="M24" s="8">
        <v>2</v>
      </c>
      <c r="N24" s="9" t="s">
        <v>41</v>
      </c>
    </row>
    <row r="25" spans="1:14" x14ac:dyDescent="0.3">
      <c r="A25" s="8">
        <v>909</v>
      </c>
      <c r="B25" s="9" t="s">
        <v>159</v>
      </c>
      <c r="C25" s="9" t="s">
        <v>160</v>
      </c>
      <c r="D25" s="9" t="s">
        <v>22</v>
      </c>
      <c r="E25" s="9" t="s">
        <v>44</v>
      </c>
      <c r="F25" s="7">
        <v>41202</v>
      </c>
      <c r="G25" s="10">
        <v>3085</v>
      </c>
      <c r="H25" s="8">
        <v>614486424</v>
      </c>
      <c r="I25" s="9" t="s">
        <v>161</v>
      </c>
      <c r="J25" s="8">
        <v>78458</v>
      </c>
      <c r="K25" s="9" t="s">
        <v>162</v>
      </c>
      <c r="L25" s="9" t="s">
        <v>163</v>
      </c>
      <c r="M25" s="8">
        <v>1</v>
      </c>
      <c r="N25" s="9" t="s">
        <v>164</v>
      </c>
    </row>
    <row r="26" spans="1:14" x14ac:dyDescent="0.3">
      <c r="A26" s="8">
        <v>910</v>
      </c>
      <c r="B26" s="9" t="s">
        <v>165</v>
      </c>
      <c r="C26" s="9" t="s">
        <v>166</v>
      </c>
      <c r="D26" s="9" t="s">
        <v>22</v>
      </c>
      <c r="E26" s="9" t="s">
        <v>44</v>
      </c>
      <c r="F26" s="7">
        <v>41112</v>
      </c>
      <c r="G26" s="10">
        <v>7841</v>
      </c>
      <c r="H26" s="8">
        <v>617288946</v>
      </c>
      <c r="I26" s="9" t="s">
        <v>167</v>
      </c>
      <c r="J26" s="8">
        <v>93655</v>
      </c>
      <c r="K26" s="9" t="s">
        <v>168</v>
      </c>
      <c r="L26" s="9" t="s">
        <v>169</v>
      </c>
      <c r="M26" s="8">
        <v>3</v>
      </c>
      <c r="N26" s="9" t="s">
        <v>164</v>
      </c>
    </row>
    <row r="27" spans="1:14" x14ac:dyDescent="0.3">
      <c r="A27" s="8">
        <v>911</v>
      </c>
      <c r="B27" s="9" t="s">
        <v>170</v>
      </c>
      <c r="C27" s="9" t="s">
        <v>171</v>
      </c>
      <c r="D27" s="9" t="s">
        <v>22</v>
      </c>
      <c r="E27" s="9" t="s">
        <v>37</v>
      </c>
      <c r="F27" s="7">
        <v>44098</v>
      </c>
      <c r="G27" s="10">
        <v>7359</v>
      </c>
      <c r="H27" s="8">
        <v>678574976</v>
      </c>
      <c r="I27" s="9" t="s">
        <v>172</v>
      </c>
      <c r="J27" s="8">
        <v>94753</v>
      </c>
      <c r="K27" s="9" t="s">
        <v>162</v>
      </c>
      <c r="L27" s="9" t="s">
        <v>173</v>
      </c>
      <c r="M27" s="8">
        <v>3</v>
      </c>
      <c r="N27" s="9" t="s">
        <v>101</v>
      </c>
    </row>
    <row r="28" spans="1:14" x14ac:dyDescent="0.3">
      <c r="A28" s="8">
        <v>912</v>
      </c>
      <c r="B28" s="9" t="s">
        <v>174</v>
      </c>
      <c r="C28" s="9" t="s">
        <v>175</v>
      </c>
      <c r="D28" s="9" t="s">
        <v>22</v>
      </c>
      <c r="E28" s="9" t="s">
        <v>56</v>
      </c>
      <c r="F28" s="7">
        <v>42378</v>
      </c>
      <c r="G28" s="10">
        <v>2627</v>
      </c>
      <c r="H28" s="8">
        <v>621351582</v>
      </c>
      <c r="I28" s="9" t="s">
        <v>176</v>
      </c>
      <c r="J28" s="8">
        <v>75567</v>
      </c>
      <c r="K28" s="9" t="s">
        <v>83</v>
      </c>
      <c r="L28" s="9" t="s">
        <v>177</v>
      </c>
      <c r="M28" s="8">
        <v>1</v>
      </c>
      <c r="N28" s="9" t="s">
        <v>60</v>
      </c>
    </row>
    <row r="29" spans="1:14" x14ac:dyDescent="0.3">
      <c r="A29" s="8">
        <v>913</v>
      </c>
      <c r="B29" s="9" t="s">
        <v>178</v>
      </c>
      <c r="C29" s="9" t="s">
        <v>179</v>
      </c>
      <c r="D29" s="9" t="s">
        <v>22</v>
      </c>
      <c r="E29" s="9" t="s">
        <v>87</v>
      </c>
      <c r="F29" s="7">
        <v>40381</v>
      </c>
      <c r="G29" s="10">
        <v>5173</v>
      </c>
      <c r="H29" s="8">
        <v>651906600</v>
      </c>
      <c r="I29" s="9" t="s">
        <v>180</v>
      </c>
      <c r="J29" s="8">
        <v>78971</v>
      </c>
      <c r="K29" s="9" t="s">
        <v>46</v>
      </c>
      <c r="L29" s="9" t="s">
        <v>181</v>
      </c>
      <c r="M29" s="8">
        <v>3</v>
      </c>
      <c r="N29" s="9" t="s">
        <v>91</v>
      </c>
    </row>
    <row r="30" spans="1:14" x14ac:dyDescent="0.3">
      <c r="A30" s="8">
        <v>914</v>
      </c>
      <c r="B30" s="9" t="s">
        <v>182</v>
      </c>
      <c r="C30" s="9" t="s">
        <v>183</v>
      </c>
      <c r="D30" s="9" t="s">
        <v>22</v>
      </c>
      <c r="E30" s="9" t="s">
        <v>138</v>
      </c>
      <c r="F30" s="7">
        <v>40933</v>
      </c>
      <c r="G30" s="10">
        <v>5894</v>
      </c>
      <c r="H30" s="8">
        <v>681345345</v>
      </c>
      <c r="I30" s="9" t="s">
        <v>184</v>
      </c>
      <c r="J30" s="8">
        <v>91394</v>
      </c>
      <c r="K30" s="9" t="s">
        <v>65</v>
      </c>
      <c r="L30" s="9" t="s">
        <v>185</v>
      </c>
      <c r="M30" s="8">
        <v>1</v>
      </c>
      <c r="N30" s="9" t="s">
        <v>27</v>
      </c>
    </row>
    <row r="31" spans="1:14" x14ac:dyDescent="0.3">
      <c r="A31" s="8">
        <v>915</v>
      </c>
      <c r="B31" s="9" t="s">
        <v>186</v>
      </c>
      <c r="C31" s="9" t="s">
        <v>187</v>
      </c>
      <c r="D31" s="9" t="s">
        <v>22</v>
      </c>
      <c r="E31" s="9" t="s">
        <v>70</v>
      </c>
      <c r="F31" s="7">
        <v>41027</v>
      </c>
      <c r="G31" s="10">
        <v>4384</v>
      </c>
      <c r="H31" s="8">
        <v>658875000</v>
      </c>
      <c r="I31" s="9" t="s">
        <v>188</v>
      </c>
      <c r="J31" s="8">
        <v>75311</v>
      </c>
      <c r="K31" s="9" t="s">
        <v>189</v>
      </c>
      <c r="L31" s="9" t="s">
        <v>190</v>
      </c>
      <c r="M31" s="8">
        <v>1</v>
      </c>
      <c r="N31" s="9" t="s">
        <v>96</v>
      </c>
    </row>
    <row r="32" spans="1:14" x14ac:dyDescent="0.3">
      <c r="A32" s="8">
        <v>916</v>
      </c>
      <c r="B32" s="9" t="s">
        <v>191</v>
      </c>
      <c r="C32" s="9" t="s">
        <v>192</v>
      </c>
      <c r="D32" s="9" t="s">
        <v>22</v>
      </c>
      <c r="E32" s="9" t="s">
        <v>30</v>
      </c>
      <c r="F32" s="7">
        <v>42638</v>
      </c>
      <c r="G32" s="10">
        <v>3128</v>
      </c>
      <c r="H32" s="8">
        <v>629762141</v>
      </c>
      <c r="I32" s="9" t="s">
        <v>193</v>
      </c>
      <c r="J32" s="8">
        <v>78333</v>
      </c>
      <c r="K32" s="9" t="s">
        <v>194</v>
      </c>
      <c r="L32" s="9" t="s">
        <v>195</v>
      </c>
      <c r="M32" s="8">
        <v>1</v>
      </c>
      <c r="N32" s="9" t="s">
        <v>34</v>
      </c>
    </row>
    <row r="33" spans="1:14" x14ac:dyDescent="0.3">
      <c r="A33" s="8">
        <v>917</v>
      </c>
      <c r="B33" s="9" t="s">
        <v>196</v>
      </c>
      <c r="C33" s="9" t="s">
        <v>197</v>
      </c>
      <c r="D33" s="9" t="s">
        <v>22</v>
      </c>
      <c r="E33" s="9" t="s">
        <v>30</v>
      </c>
      <c r="F33" s="7">
        <v>40882</v>
      </c>
      <c r="G33" s="10">
        <v>6346</v>
      </c>
      <c r="H33" s="8">
        <v>632045644</v>
      </c>
      <c r="I33" s="9" t="s">
        <v>198</v>
      </c>
      <c r="J33" s="8">
        <v>92889</v>
      </c>
      <c r="K33" s="9" t="s">
        <v>124</v>
      </c>
      <c r="L33" s="9" t="s">
        <v>199</v>
      </c>
      <c r="M33" s="8">
        <v>3</v>
      </c>
      <c r="N33" s="9" t="s">
        <v>200</v>
      </c>
    </row>
    <row r="34" spans="1:14" x14ac:dyDescent="0.3">
      <c r="A34" s="8">
        <v>918</v>
      </c>
      <c r="B34" s="9" t="s">
        <v>201</v>
      </c>
      <c r="C34" s="9" t="s">
        <v>202</v>
      </c>
      <c r="D34" s="9" t="s">
        <v>22</v>
      </c>
      <c r="E34" s="9" t="s">
        <v>138</v>
      </c>
      <c r="F34" s="7">
        <v>42325</v>
      </c>
      <c r="G34" s="10">
        <v>3123</v>
      </c>
      <c r="H34" s="8">
        <v>660712410</v>
      </c>
      <c r="I34" s="9" t="s">
        <v>203</v>
      </c>
      <c r="J34" s="8">
        <v>91458</v>
      </c>
      <c r="K34" s="9" t="s">
        <v>65</v>
      </c>
      <c r="L34" s="9" t="s">
        <v>204</v>
      </c>
      <c r="M34" s="8">
        <v>1</v>
      </c>
      <c r="N34" s="9" t="s">
        <v>27</v>
      </c>
    </row>
    <row r="35" spans="1:14" x14ac:dyDescent="0.3">
      <c r="A35" s="8">
        <v>919</v>
      </c>
      <c r="B35" s="9" t="s">
        <v>205</v>
      </c>
      <c r="C35" s="9" t="s">
        <v>206</v>
      </c>
      <c r="D35" s="9" t="s">
        <v>22</v>
      </c>
      <c r="E35" s="9" t="s">
        <v>44</v>
      </c>
      <c r="F35" s="7">
        <v>43148</v>
      </c>
      <c r="G35" s="10">
        <v>5696</v>
      </c>
      <c r="H35" s="8">
        <v>633122169</v>
      </c>
      <c r="I35" s="9" t="s">
        <v>207</v>
      </c>
      <c r="J35" s="8">
        <v>94218</v>
      </c>
      <c r="K35" s="9" t="s">
        <v>208</v>
      </c>
      <c r="L35" s="9" t="s">
        <v>209</v>
      </c>
      <c r="M35" s="8">
        <v>3</v>
      </c>
      <c r="N35" s="9" t="s">
        <v>48</v>
      </c>
    </row>
    <row r="36" spans="1:14" x14ac:dyDescent="0.3">
      <c r="A36" s="8">
        <v>920</v>
      </c>
      <c r="B36" s="9" t="s">
        <v>210</v>
      </c>
      <c r="C36" s="9" t="s">
        <v>211</v>
      </c>
      <c r="D36" s="9" t="s">
        <v>22</v>
      </c>
      <c r="E36" s="9" t="s">
        <v>56</v>
      </c>
      <c r="F36" s="7">
        <v>40231</v>
      </c>
      <c r="G36" s="10">
        <v>2864</v>
      </c>
      <c r="H36" s="8">
        <v>669225370</v>
      </c>
      <c r="I36" s="9" t="s">
        <v>212</v>
      </c>
      <c r="J36" s="8">
        <v>75406</v>
      </c>
      <c r="K36" s="9" t="s">
        <v>213</v>
      </c>
      <c r="L36" s="9" t="s">
        <v>214</v>
      </c>
      <c r="M36" s="8">
        <v>1</v>
      </c>
      <c r="N36" s="9" t="s">
        <v>145</v>
      </c>
    </row>
    <row r="37" spans="1:14" x14ac:dyDescent="0.3">
      <c r="A37" s="8">
        <v>921</v>
      </c>
      <c r="B37" s="9" t="s">
        <v>215</v>
      </c>
      <c r="C37" s="9" t="s">
        <v>216</v>
      </c>
      <c r="D37" s="9" t="s">
        <v>22</v>
      </c>
      <c r="E37" s="9" t="s">
        <v>37</v>
      </c>
      <c r="F37" s="7">
        <v>41406</v>
      </c>
      <c r="G37" s="10">
        <v>5693</v>
      </c>
      <c r="H37" s="8">
        <v>689546693</v>
      </c>
      <c r="I37" s="9" t="s">
        <v>217</v>
      </c>
      <c r="J37" s="8">
        <v>75789</v>
      </c>
      <c r="K37" s="9" t="s">
        <v>218</v>
      </c>
      <c r="L37" s="9" t="s">
        <v>219</v>
      </c>
      <c r="M37" s="8">
        <v>3</v>
      </c>
      <c r="N37" s="9" t="s">
        <v>27</v>
      </c>
    </row>
    <row r="38" spans="1:14" x14ac:dyDescent="0.3">
      <c r="A38" s="8">
        <v>922</v>
      </c>
      <c r="B38" s="9" t="s">
        <v>220</v>
      </c>
      <c r="C38" s="9" t="s">
        <v>221</v>
      </c>
      <c r="D38" s="9" t="s">
        <v>22</v>
      </c>
      <c r="E38" s="9" t="s">
        <v>70</v>
      </c>
      <c r="F38" s="7">
        <v>43003</v>
      </c>
      <c r="G38" s="10">
        <v>3939</v>
      </c>
      <c r="H38" s="8">
        <v>636593039</v>
      </c>
      <c r="I38" s="9" t="s">
        <v>222</v>
      </c>
      <c r="J38" s="8">
        <v>78174</v>
      </c>
      <c r="K38" s="9" t="s">
        <v>208</v>
      </c>
      <c r="L38" s="9" t="s">
        <v>223</v>
      </c>
      <c r="M38" s="8">
        <v>2</v>
      </c>
      <c r="N38" s="9" t="s">
        <v>96</v>
      </c>
    </row>
    <row r="39" spans="1:14" x14ac:dyDescent="0.3">
      <c r="A39" s="8">
        <v>923</v>
      </c>
      <c r="B39" s="9" t="s">
        <v>224</v>
      </c>
      <c r="C39" s="9" t="s">
        <v>225</v>
      </c>
      <c r="D39" s="9" t="s">
        <v>22</v>
      </c>
      <c r="E39" s="9" t="s">
        <v>30</v>
      </c>
      <c r="F39" s="7">
        <v>41312</v>
      </c>
      <c r="G39" s="10">
        <v>5622</v>
      </c>
      <c r="H39" s="8">
        <v>625486718</v>
      </c>
      <c r="I39" s="9" t="s">
        <v>226</v>
      </c>
      <c r="J39" s="8">
        <v>94548</v>
      </c>
      <c r="K39" s="9" t="s">
        <v>52</v>
      </c>
      <c r="L39" s="9" t="s">
        <v>227</v>
      </c>
      <c r="M39" s="8">
        <v>1</v>
      </c>
      <c r="N39" s="9" t="s">
        <v>200</v>
      </c>
    </row>
    <row r="40" spans="1:14" x14ac:dyDescent="0.3">
      <c r="A40" s="8">
        <v>924</v>
      </c>
      <c r="B40" s="9" t="s">
        <v>228</v>
      </c>
      <c r="C40" s="9" t="s">
        <v>229</v>
      </c>
      <c r="D40" s="9" t="s">
        <v>22</v>
      </c>
      <c r="E40" s="9" t="s">
        <v>30</v>
      </c>
      <c r="F40" s="7">
        <v>43172</v>
      </c>
      <c r="G40" s="10">
        <v>6995</v>
      </c>
      <c r="H40" s="8">
        <v>630266334</v>
      </c>
      <c r="I40" s="9" t="s">
        <v>230</v>
      </c>
      <c r="J40" s="8">
        <v>75383</v>
      </c>
      <c r="K40" s="9" t="s">
        <v>114</v>
      </c>
      <c r="L40" s="9" t="s">
        <v>231</v>
      </c>
      <c r="M40" s="8">
        <v>1</v>
      </c>
      <c r="N40" s="9" t="s">
        <v>34</v>
      </c>
    </row>
    <row r="41" spans="1:14" x14ac:dyDescent="0.3">
      <c r="A41" s="8">
        <v>925</v>
      </c>
      <c r="B41" s="9" t="s">
        <v>232</v>
      </c>
      <c r="C41" s="9" t="s">
        <v>233</v>
      </c>
      <c r="D41" s="9" t="s">
        <v>22</v>
      </c>
      <c r="E41" s="9" t="s">
        <v>23</v>
      </c>
      <c r="F41" s="7">
        <v>40438</v>
      </c>
      <c r="G41" s="10">
        <v>7763</v>
      </c>
      <c r="H41" s="8">
        <v>611997739</v>
      </c>
      <c r="I41" s="9" t="s">
        <v>234</v>
      </c>
      <c r="J41" s="8">
        <v>78549</v>
      </c>
      <c r="K41" s="9" t="s">
        <v>168</v>
      </c>
      <c r="L41" s="9" t="s">
        <v>235</v>
      </c>
      <c r="M41" s="8">
        <v>1</v>
      </c>
      <c r="N41" s="9" t="s">
        <v>236</v>
      </c>
    </row>
    <row r="42" spans="1:14" x14ac:dyDescent="0.3">
      <c r="A42" s="8">
        <v>926</v>
      </c>
      <c r="B42" s="9" t="s">
        <v>237</v>
      </c>
      <c r="C42" s="9" t="s">
        <v>238</v>
      </c>
      <c r="D42" s="9" t="s">
        <v>22</v>
      </c>
      <c r="E42" s="9" t="s">
        <v>63</v>
      </c>
      <c r="F42" s="7">
        <v>40548</v>
      </c>
      <c r="G42" s="10">
        <v>2244</v>
      </c>
      <c r="H42" s="8">
        <v>644791550</v>
      </c>
      <c r="I42" s="9" t="s">
        <v>239</v>
      </c>
      <c r="J42" s="8">
        <v>75458</v>
      </c>
      <c r="K42" s="9" t="s">
        <v>162</v>
      </c>
      <c r="L42" s="9" t="s">
        <v>240</v>
      </c>
      <c r="M42" s="8">
        <v>1</v>
      </c>
      <c r="N42" s="9" t="s">
        <v>241</v>
      </c>
    </row>
    <row r="43" spans="1:14" x14ac:dyDescent="0.3">
      <c r="A43" s="8">
        <v>927</v>
      </c>
      <c r="B43" s="9" t="s">
        <v>242</v>
      </c>
      <c r="C43" s="9" t="s">
        <v>243</v>
      </c>
      <c r="D43" s="9" t="s">
        <v>22</v>
      </c>
      <c r="E43" s="9" t="s">
        <v>37</v>
      </c>
      <c r="F43" s="7">
        <v>43067</v>
      </c>
      <c r="G43" s="10">
        <v>7158</v>
      </c>
      <c r="H43" s="8">
        <v>611409110</v>
      </c>
      <c r="I43" s="9" t="s">
        <v>244</v>
      </c>
      <c r="J43" s="8">
        <v>75897</v>
      </c>
      <c r="K43" s="9" t="s">
        <v>46</v>
      </c>
      <c r="L43" s="9" t="s">
        <v>245</v>
      </c>
      <c r="M43" s="8">
        <v>1</v>
      </c>
      <c r="N43" s="9" t="s">
        <v>101</v>
      </c>
    </row>
    <row r="44" spans="1:14" x14ac:dyDescent="0.3">
      <c r="A44" s="8">
        <v>928</v>
      </c>
      <c r="B44" s="9" t="s">
        <v>246</v>
      </c>
      <c r="C44" s="9" t="s">
        <v>247</v>
      </c>
      <c r="D44" s="9" t="s">
        <v>22</v>
      </c>
      <c r="E44" s="9" t="s">
        <v>56</v>
      </c>
      <c r="F44" s="7">
        <v>43426</v>
      </c>
      <c r="G44" s="10">
        <v>2721</v>
      </c>
      <c r="H44" s="8">
        <v>694890165</v>
      </c>
      <c r="I44" s="9" t="s">
        <v>248</v>
      </c>
      <c r="J44" s="8">
        <v>91380</v>
      </c>
      <c r="K44" s="9" t="s">
        <v>213</v>
      </c>
      <c r="L44" s="9" t="s">
        <v>249</v>
      </c>
      <c r="M44" s="8">
        <v>2</v>
      </c>
      <c r="N44" s="9" t="s">
        <v>79</v>
      </c>
    </row>
    <row r="45" spans="1:14" x14ac:dyDescent="0.3">
      <c r="A45" s="8">
        <v>929</v>
      </c>
      <c r="B45" s="9" t="s">
        <v>250</v>
      </c>
      <c r="C45" s="9" t="s">
        <v>251</v>
      </c>
      <c r="D45" s="9" t="s">
        <v>22</v>
      </c>
      <c r="E45" s="9" t="s">
        <v>70</v>
      </c>
      <c r="F45" s="7">
        <v>40514</v>
      </c>
      <c r="G45" s="10">
        <v>2296</v>
      </c>
      <c r="H45" s="8">
        <v>696222393</v>
      </c>
      <c r="I45" s="9" t="s">
        <v>252</v>
      </c>
      <c r="J45" s="8">
        <v>92470</v>
      </c>
      <c r="K45" s="9" t="s">
        <v>65</v>
      </c>
      <c r="L45" s="9" t="s">
        <v>253</v>
      </c>
      <c r="M45" s="8">
        <v>1</v>
      </c>
      <c r="N45" s="9" t="s">
        <v>73</v>
      </c>
    </row>
    <row r="46" spans="1:14" x14ac:dyDescent="0.3">
      <c r="A46" s="8">
        <v>930</v>
      </c>
      <c r="B46" s="9" t="s">
        <v>254</v>
      </c>
      <c r="C46" s="9" t="s">
        <v>255</v>
      </c>
      <c r="D46" s="9" t="s">
        <v>22</v>
      </c>
      <c r="E46" s="9" t="s">
        <v>44</v>
      </c>
      <c r="F46" s="7">
        <v>42986</v>
      </c>
      <c r="G46" s="10">
        <v>4489</v>
      </c>
      <c r="H46" s="8">
        <v>686256935</v>
      </c>
      <c r="I46" s="9" t="s">
        <v>256</v>
      </c>
      <c r="J46" s="8">
        <v>92605</v>
      </c>
      <c r="K46" s="9" t="s">
        <v>257</v>
      </c>
      <c r="L46" s="9" t="s">
        <v>258</v>
      </c>
      <c r="M46" s="8">
        <v>2</v>
      </c>
      <c r="N46" s="9" t="s">
        <v>48</v>
      </c>
    </row>
    <row r="47" spans="1:14" x14ac:dyDescent="0.3">
      <c r="A47" s="8">
        <v>931</v>
      </c>
      <c r="B47" s="9" t="s">
        <v>259</v>
      </c>
      <c r="C47" s="9" t="s">
        <v>260</v>
      </c>
      <c r="D47" s="9" t="s">
        <v>22</v>
      </c>
      <c r="E47" s="9" t="s">
        <v>30</v>
      </c>
      <c r="F47" s="7">
        <v>42605</v>
      </c>
      <c r="G47" s="10">
        <v>1522</v>
      </c>
      <c r="H47" s="8">
        <v>631483356</v>
      </c>
      <c r="I47" s="9" t="s">
        <v>261</v>
      </c>
      <c r="J47" s="8">
        <v>95851</v>
      </c>
      <c r="K47" s="9" t="s">
        <v>129</v>
      </c>
      <c r="L47" s="9" t="s">
        <v>262</v>
      </c>
      <c r="M47" s="8">
        <v>2</v>
      </c>
      <c r="N47" s="9" t="s">
        <v>150</v>
      </c>
    </row>
    <row r="48" spans="1:14" x14ac:dyDescent="0.3">
      <c r="A48" s="8">
        <v>932</v>
      </c>
      <c r="B48" s="9" t="s">
        <v>263</v>
      </c>
      <c r="C48" s="9" t="s">
        <v>264</v>
      </c>
      <c r="D48" s="9" t="s">
        <v>22</v>
      </c>
      <c r="E48" s="9" t="s">
        <v>37</v>
      </c>
      <c r="F48" s="7">
        <v>42760</v>
      </c>
      <c r="G48" s="10">
        <v>2937</v>
      </c>
      <c r="H48" s="8">
        <v>613142373</v>
      </c>
      <c r="I48" s="9" t="s">
        <v>265</v>
      </c>
      <c r="J48" s="8">
        <v>91690</v>
      </c>
      <c r="K48" s="9" t="s">
        <v>257</v>
      </c>
      <c r="L48" s="9" t="s">
        <v>266</v>
      </c>
      <c r="M48" s="8">
        <v>2</v>
      </c>
      <c r="N48" s="9" t="s">
        <v>27</v>
      </c>
    </row>
    <row r="49" spans="1:14" x14ac:dyDescent="0.3">
      <c r="A49" s="8">
        <v>933</v>
      </c>
      <c r="B49" s="9" t="s">
        <v>39</v>
      </c>
      <c r="C49" s="9" t="s">
        <v>267</v>
      </c>
      <c r="D49" s="9" t="s">
        <v>22</v>
      </c>
      <c r="E49" s="9" t="s">
        <v>37</v>
      </c>
      <c r="F49" s="7">
        <v>41278</v>
      </c>
      <c r="G49" s="10">
        <v>7152</v>
      </c>
      <c r="H49" s="8">
        <v>670559227</v>
      </c>
      <c r="I49" s="9" t="s">
        <v>268</v>
      </c>
      <c r="J49" s="8">
        <v>78283</v>
      </c>
      <c r="K49" s="9" t="s">
        <v>269</v>
      </c>
      <c r="L49" s="9" t="s">
        <v>270</v>
      </c>
      <c r="M49" s="8">
        <v>2</v>
      </c>
      <c r="N49" s="9" t="s">
        <v>27</v>
      </c>
    </row>
    <row r="50" spans="1:14" x14ac:dyDescent="0.3">
      <c r="A50" s="8">
        <v>934</v>
      </c>
      <c r="B50" s="9" t="s">
        <v>271</v>
      </c>
      <c r="C50" s="9" t="s">
        <v>272</v>
      </c>
      <c r="D50" s="9" t="s">
        <v>22</v>
      </c>
      <c r="E50" s="9" t="s">
        <v>138</v>
      </c>
      <c r="F50" s="7">
        <v>40281</v>
      </c>
      <c r="G50" s="10">
        <v>3061</v>
      </c>
      <c r="H50" s="8">
        <v>642808691</v>
      </c>
      <c r="I50" s="9" t="s">
        <v>273</v>
      </c>
      <c r="J50" s="8">
        <v>95917</v>
      </c>
      <c r="K50" s="9" t="s">
        <v>274</v>
      </c>
      <c r="L50" s="9" t="s">
        <v>275</v>
      </c>
      <c r="M50" s="8">
        <v>3</v>
      </c>
      <c r="N50" s="9" t="s">
        <v>27</v>
      </c>
    </row>
    <row r="51" spans="1:14" x14ac:dyDescent="0.3">
      <c r="A51" s="8">
        <v>935</v>
      </c>
      <c r="B51" s="9" t="s">
        <v>276</v>
      </c>
      <c r="C51" s="9" t="s">
        <v>277</v>
      </c>
      <c r="D51" s="9" t="s">
        <v>22</v>
      </c>
      <c r="E51" s="9" t="s">
        <v>63</v>
      </c>
      <c r="F51" s="7">
        <v>42036</v>
      </c>
      <c r="G51" s="10">
        <v>1414</v>
      </c>
      <c r="H51" s="8">
        <v>632523148</v>
      </c>
      <c r="I51" s="9" t="s">
        <v>278</v>
      </c>
      <c r="J51" s="8">
        <v>78478</v>
      </c>
      <c r="K51" s="9" t="s">
        <v>77</v>
      </c>
      <c r="L51" s="9" t="s">
        <v>279</v>
      </c>
      <c r="M51" s="8">
        <v>1</v>
      </c>
      <c r="N51" s="9" t="s">
        <v>34</v>
      </c>
    </row>
    <row r="52" spans="1:14" x14ac:dyDescent="0.3">
      <c r="A52" s="8">
        <v>936</v>
      </c>
      <c r="B52" s="9" t="s">
        <v>280</v>
      </c>
      <c r="C52" s="9" t="s">
        <v>281</v>
      </c>
      <c r="D52" s="9" t="s">
        <v>22</v>
      </c>
      <c r="E52" s="9" t="s">
        <v>63</v>
      </c>
      <c r="F52" s="7">
        <v>40271</v>
      </c>
      <c r="G52" s="10">
        <v>5561</v>
      </c>
      <c r="H52" s="8">
        <v>633103487</v>
      </c>
      <c r="I52" s="9" t="s">
        <v>282</v>
      </c>
      <c r="J52" s="8">
        <v>93322</v>
      </c>
      <c r="K52" s="9" t="s">
        <v>25</v>
      </c>
      <c r="L52" s="9" t="s">
        <v>283</v>
      </c>
      <c r="M52" s="8">
        <v>1</v>
      </c>
      <c r="N52" s="9" t="s">
        <v>284</v>
      </c>
    </row>
    <row r="53" spans="1:14" x14ac:dyDescent="0.3">
      <c r="A53" s="8">
        <v>937</v>
      </c>
      <c r="B53" s="9" t="s">
        <v>285</v>
      </c>
      <c r="C53" s="9" t="s">
        <v>286</v>
      </c>
      <c r="D53" s="9" t="s">
        <v>22</v>
      </c>
      <c r="E53" s="9" t="s">
        <v>23</v>
      </c>
      <c r="F53" s="7">
        <v>43709</v>
      </c>
      <c r="G53" s="10">
        <v>1634</v>
      </c>
      <c r="H53" s="8">
        <v>643966911</v>
      </c>
      <c r="I53" s="9" t="s">
        <v>287</v>
      </c>
      <c r="J53" s="8">
        <v>78772</v>
      </c>
      <c r="K53" s="9" t="s">
        <v>288</v>
      </c>
      <c r="L53" s="9" t="s">
        <v>289</v>
      </c>
      <c r="M53" s="8">
        <v>3</v>
      </c>
      <c r="N53" s="9" t="s">
        <v>145</v>
      </c>
    </row>
    <row r="54" spans="1:14" x14ac:dyDescent="0.3">
      <c r="A54" s="8">
        <v>938</v>
      </c>
      <c r="B54" s="9" t="s">
        <v>290</v>
      </c>
      <c r="C54" s="9" t="s">
        <v>291</v>
      </c>
      <c r="D54" s="9" t="s">
        <v>22</v>
      </c>
      <c r="E54" s="9" t="s">
        <v>87</v>
      </c>
      <c r="F54" s="7">
        <v>42657</v>
      </c>
      <c r="G54" s="10">
        <v>6057</v>
      </c>
      <c r="H54" s="8">
        <v>697519998</v>
      </c>
      <c r="I54" s="9" t="s">
        <v>292</v>
      </c>
      <c r="J54" s="8">
        <v>94772</v>
      </c>
      <c r="K54" s="9" t="s">
        <v>208</v>
      </c>
      <c r="L54" s="9" t="s">
        <v>293</v>
      </c>
      <c r="M54" s="8">
        <v>3</v>
      </c>
      <c r="N54" s="9" t="s">
        <v>145</v>
      </c>
    </row>
    <row r="55" spans="1:14" x14ac:dyDescent="0.3">
      <c r="A55" s="8">
        <v>939</v>
      </c>
      <c r="B55" s="9" t="s">
        <v>294</v>
      </c>
      <c r="C55" s="9" t="s">
        <v>295</v>
      </c>
      <c r="D55" s="9" t="s">
        <v>22</v>
      </c>
      <c r="E55" s="9" t="s">
        <v>44</v>
      </c>
      <c r="F55" s="7">
        <v>42258</v>
      </c>
      <c r="G55" s="10">
        <v>6934</v>
      </c>
      <c r="H55" s="8">
        <v>688380298</v>
      </c>
      <c r="I55" s="9" t="s">
        <v>296</v>
      </c>
      <c r="J55" s="8">
        <v>95212</v>
      </c>
      <c r="K55" s="9" t="s">
        <v>124</v>
      </c>
      <c r="L55" s="9" t="s">
        <v>297</v>
      </c>
      <c r="M55" s="8">
        <v>3</v>
      </c>
      <c r="N55" s="9" t="s">
        <v>164</v>
      </c>
    </row>
    <row r="56" spans="1:14" x14ac:dyDescent="0.3">
      <c r="A56" s="8">
        <v>940</v>
      </c>
      <c r="B56" s="9" t="s">
        <v>298</v>
      </c>
      <c r="C56" s="9" t="s">
        <v>299</v>
      </c>
      <c r="D56" s="9" t="s">
        <v>22</v>
      </c>
      <c r="E56" s="9" t="s">
        <v>63</v>
      </c>
      <c r="F56" s="7">
        <v>43771</v>
      </c>
      <c r="G56" s="10">
        <v>6113</v>
      </c>
      <c r="H56" s="8">
        <v>696636976</v>
      </c>
      <c r="I56" s="9" t="s">
        <v>300</v>
      </c>
      <c r="J56" s="8">
        <v>93447</v>
      </c>
      <c r="K56" s="9" t="s">
        <v>274</v>
      </c>
      <c r="L56" s="9" t="s">
        <v>301</v>
      </c>
      <c r="M56" s="8">
        <v>2</v>
      </c>
      <c r="N56" s="9" t="s">
        <v>302</v>
      </c>
    </row>
    <row r="57" spans="1:14" x14ac:dyDescent="0.3">
      <c r="A57" s="8">
        <v>941</v>
      </c>
      <c r="B57" s="9" t="s">
        <v>303</v>
      </c>
      <c r="C57" s="9" t="s">
        <v>304</v>
      </c>
      <c r="D57" s="9" t="s">
        <v>22</v>
      </c>
      <c r="E57" s="9" t="s">
        <v>56</v>
      </c>
      <c r="F57" s="7">
        <v>43452</v>
      </c>
      <c r="G57" s="10">
        <v>2924</v>
      </c>
      <c r="H57" s="8">
        <v>672217486</v>
      </c>
      <c r="I57" s="9" t="s">
        <v>305</v>
      </c>
      <c r="J57" s="8">
        <v>92825</v>
      </c>
      <c r="K57" s="9" t="s">
        <v>39</v>
      </c>
      <c r="L57" s="9" t="s">
        <v>306</v>
      </c>
      <c r="M57" s="8">
        <v>1</v>
      </c>
      <c r="N57" s="9" t="s">
        <v>145</v>
      </c>
    </row>
    <row r="58" spans="1:14" x14ac:dyDescent="0.3">
      <c r="A58" s="8">
        <v>942</v>
      </c>
      <c r="B58" s="9" t="s">
        <v>307</v>
      </c>
      <c r="C58" s="9" t="s">
        <v>308</v>
      </c>
      <c r="D58" s="9" t="s">
        <v>22</v>
      </c>
      <c r="E58" s="9" t="s">
        <v>44</v>
      </c>
      <c r="F58" s="7">
        <v>44025</v>
      </c>
      <c r="G58" s="10">
        <v>4145</v>
      </c>
      <c r="H58" s="8">
        <v>646173844</v>
      </c>
      <c r="I58" s="9" t="s">
        <v>309</v>
      </c>
      <c r="J58" s="8">
        <v>95295</v>
      </c>
      <c r="K58" s="9" t="s">
        <v>269</v>
      </c>
      <c r="L58" s="9" t="s">
        <v>310</v>
      </c>
      <c r="M58" s="8">
        <v>3</v>
      </c>
      <c r="N58" s="9" t="s">
        <v>48</v>
      </c>
    </row>
    <row r="59" spans="1:14" x14ac:dyDescent="0.3">
      <c r="A59" s="8">
        <v>943</v>
      </c>
      <c r="B59" s="9" t="s">
        <v>311</v>
      </c>
      <c r="C59" s="9" t="s">
        <v>312</v>
      </c>
      <c r="D59" s="9" t="s">
        <v>22</v>
      </c>
      <c r="E59" s="9" t="s">
        <v>63</v>
      </c>
      <c r="F59" s="7">
        <v>42386</v>
      </c>
      <c r="G59" s="10">
        <v>1983</v>
      </c>
      <c r="H59" s="8">
        <v>652440183</v>
      </c>
      <c r="I59" s="9" t="s">
        <v>313</v>
      </c>
      <c r="J59" s="8">
        <v>93571</v>
      </c>
      <c r="K59" s="9" t="s">
        <v>168</v>
      </c>
      <c r="L59" s="9" t="s">
        <v>314</v>
      </c>
      <c r="M59" s="8">
        <v>1</v>
      </c>
      <c r="N59" s="9" t="s">
        <v>91</v>
      </c>
    </row>
    <row r="60" spans="1:14" x14ac:dyDescent="0.3">
      <c r="A60" s="8">
        <v>944</v>
      </c>
      <c r="B60" s="9" t="s">
        <v>315</v>
      </c>
      <c r="C60" s="9" t="s">
        <v>316</v>
      </c>
      <c r="D60" s="9" t="s">
        <v>22</v>
      </c>
      <c r="E60" s="9" t="s">
        <v>56</v>
      </c>
      <c r="F60" s="7">
        <v>43660</v>
      </c>
      <c r="G60" s="10">
        <v>5241</v>
      </c>
      <c r="H60" s="8">
        <v>681009888</v>
      </c>
      <c r="I60" s="9" t="s">
        <v>317</v>
      </c>
      <c r="J60" s="8">
        <v>93788</v>
      </c>
      <c r="K60" s="9" t="s">
        <v>124</v>
      </c>
      <c r="L60" s="9" t="s">
        <v>318</v>
      </c>
      <c r="M60" s="8">
        <v>1</v>
      </c>
      <c r="N60" s="9" t="s">
        <v>145</v>
      </c>
    </row>
    <row r="61" spans="1:14" x14ac:dyDescent="0.3">
      <c r="A61" s="8">
        <v>945</v>
      </c>
      <c r="B61" s="9" t="s">
        <v>319</v>
      </c>
      <c r="C61" s="9" t="s">
        <v>320</v>
      </c>
      <c r="D61" s="9" t="s">
        <v>22</v>
      </c>
      <c r="E61" s="9" t="s">
        <v>23</v>
      </c>
      <c r="F61" s="7">
        <v>41396</v>
      </c>
      <c r="G61" s="10">
        <v>2930</v>
      </c>
      <c r="H61" s="8">
        <v>655874853</v>
      </c>
      <c r="I61" s="9" t="s">
        <v>321</v>
      </c>
      <c r="J61" s="8">
        <v>75356</v>
      </c>
      <c r="K61" s="9" t="s">
        <v>208</v>
      </c>
      <c r="L61" s="9" t="s">
        <v>322</v>
      </c>
      <c r="M61" s="8">
        <v>3</v>
      </c>
      <c r="N61" s="9" t="s">
        <v>323</v>
      </c>
    </row>
    <row r="62" spans="1:14" x14ac:dyDescent="0.3">
      <c r="A62" s="8">
        <v>946</v>
      </c>
      <c r="B62" s="9" t="s">
        <v>324</v>
      </c>
      <c r="C62" s="9" t="s">
        <v>325</v>
      </c>
      <c r="D62" s="9" t="s">
        <v>22</v>
      </c>
      <c r="E62" s="9" t="s">
        <v>23</v>
      </c>
      <c r="F62" s="7">
        <v>41378</v>
      </c>
      <c r="G62" s="10">
        <v>4347</v>
      </c>
      <c r="H62" s="8">
        <v>630994019</v>
      </c>
      <c r="I62" s="9" t="s">
        <v>326</v>
      </c>
      <c r="J62" s="8">
        <v>91228</v>
      </c>
      <c r="K62" s="9" t="s">
        <v>25</v>
      </c>
      <c r="L62" s="9" t="s">
        <v>327</v>
      </c>
      <c r="M62" s="8">
        <v>1</v>
      </c>
      <c r="N62" s="9" t="s">
        <v>328</v>
      </c>
    </row>
    <row r="63" spans="1:14" x14ac:dyDescent="0.3">
      <c r="A63" s="8">
        <v>947</v>
      </c>
      <c r="B63" s="9" t="s">
        <v>329</v>
      </c>
      <c r="C63" s="9" t="s">
        <v>330</v>
      </c>
      <c r="D63" s="9" t="s">
        <v>22</v>
      </c>
      <c r="E63" s="9" t="s">
        <v>37</v>
      </c>
      <c r="F63" s="7">
        <v>41347</v>
      </c>
      <c r="G63" s="10">
        <v>4295</v>
      </c>
      <c r="H63" s="8">
        <v>636784971</v>
      </c>
      <c r="I63" s="9" t="s">
        <v>331</v>
      </c>
      <c r="J63" s="8">
        <v>93724</v>
      </c>
      <c r="K63" s="9" t="s">
        <v>194</v>
      </c>
      <c r="L63" s="9" t="s">
        <v>332</v>
      </c>
      <c r="M63" s="8">
        <v>1</v>
      </c>
      <c r="N63" s="9" t="s">
        <v>27</v>
      </c>
    </row>
    <row r="64" spans="1:14" x14ac:dyDescent="0.3">
      <c r="A64" s="8">
        <v>948</v>
      </c>
      <c r="B64" s="9" t="s">
        <v>333</v>
      </c>
      <c r="C64" s="9" t="s">
        <v>334</v>
      </c>
      <c r="D64" s="9" t="s">
        <v>22</v>
      </c>
      <c r="E64" s="9" t="s">
        <v>70</v>
      </c>
      <c r="F64" s="7">
        <v>42911</v>
      </c>
      <c r="G64" s="10">
        <v>3824</v>
      </c>
      <c r="H64" s="8">
        <v>678494146</v>
      </c>
      <c r="I64" s="9" t="s">
        <v>335</v>
      </c>
      <c r="J64" s="8">
        <v>94730</v>
      </c>
      <c r="K64" s="9" t="s">
        <v>124</v>
      </c>
      <c r="L64" s="9" t="s">
        <v>336</v>
      </c>
      <c r="M64" s="8">
        <v>2</v>
      </c>
      <c r="N64" s="9" t="s">
        <v>284</v>
      </c>
    </row>
    <row r="65" spans="1:14" x14ac:dyDescent="0.3">
      <c r="A65" s="8">
        <v>949</v>
      </c>
      <c r="B65" s="9" t="s">
        <v>337</v>
      </c>
      <c r="C65" s="9" t="s">
        <v>338</v>
      </c>
      <c r="D65" s="9" t="s">
        <v>22</v>
      </c>
      <c r="E65" s="9" t="s">
        <v>138</v>
      </c>
      <c r="F65" s="7">
        <v>41221</v>
      </c>
      <c r="G65" s="10">
        <v>3161</v>
      </c>
      <c r="H65" s="8">
        <v>695670359</v>
      </c>
      <c r="I65" s="9" t="s">
        <v>339</v>
      </c>
      <c r="J65" s="8">
        <v>94262</v>
      </c>
      <c r="K65" s="9" t="s">
        <v>340</v>
      </c>
      <c r="L65" s="9" t="s">
        <v>341</v>
      </c>
      <c r="M65" s="8">
        <v>2</v>
      </c>
      <c r="N65" s="9" t="s">
        <v>101</v>
      </c>
    </row>
    <row r="66" spans="1:14" x14ac:dyDescent="0.3">
      <c r="A66" s="8">
        <v>950</v>
      </c>
      <c r="B66" s="9" t="s">
        <v>342</v>
      </c>
      <c r="C66" s="9" t="s">
        <v>343</v>
      </c>
      <c r="D66" s="9" t="s">
        <v>22</v>
      </c>
      <c r="E66" s="9" t="s">
        <v>138</v>
      </c>
      <c r="F66" s="7">
        <v>40247</v>
      </c>
      <c r="G66" s="10">
        <v>3290</v>
      </c>
      <c r="H66" s="8">
        <v>620653977</v>
      </c>
      <c r="I66" s="9" t="s">
        <v>344</v>
      </c>
      <c r="J66" s="8">
        <v>91967</v>
      </c>
      <c r="K66" s="9" t="s">
        <v>109</v>
      </c>
      <c r="L66" s="9" t="s">
        <v>345</v>
      </c>
      <c r="M66" s="8">
        <v>1</v>
      </c>
      <c r="N66" s="9" t="s">
        <v>101</v>
      </c>
    </row>
    <row r="67" spans="1:14" x14ac:dyDescent="0.3">
      <c r="A67" s="8">
        <v>951</v>
      </c>
      <c r="B67" s="9" t="s">
        <v>346</v>
      </c>
      <c r="C67" s="9" t="s">
        <v>347</v>
      </c>
      <c r="D67" s="9" t="s">
        <v>22</v>
      </c>
      <c r="E67" s="9" t="s">
        <v>138</v>
      </c>
      <c r="F67" s="7">
        <v>40254</v>
      </c>
      <c r="G67" s="10">
        <v>5169</v>
      </c>
      <c r="H67" s="8">
        <v>630076900</v>
      </c>
      <c r="I67" s="9" t="s">
        <v>348</v>
      </c>
      <c r="J67" s="8">
        <v>75446</v>
      </c>
      <c r="K67" s="9" t="s">
        <v>52</v>
      </c>
      <c r="L67" s="9" t="s">
        <v>349</v>
      </c>
      <c r="M67" s="8">
        <v>1</v>
      </c>
      <c r="N67" s="9" t="s">
        <v>41</v>
      </c>
    </row>
    <row r="68" spans="1:14" x14ac:dyDescent="0.3">
      <c r="A68" s="8">
        <v>952</v>
      </c>
      <c r="B68" s="9" t="s">
        <v>350</v>
      </c>
      <c r="C68" s="9" t="s">
        <v>351</v>
      </c>
      <c r="D68" s="9" t="s">
        <v>22</v>
      </c>
      <c r="E68" s="9" t="s">
        <v>87</v>
      </c>
      <c r="F68" s="7">
        <v>40562</v>
      </c>
      <c r="G68" s="10">
        <v>7765</v>
      </c>
      <c r="H68" s="8">
        <v>665473457</v>
      </c>
      <c r="I68" s="9" t="s">
        <v>352</v>
      </c>
      <c r="J68" s="8">
        <v>92579</v>
      </c>
      <c r="K68" s="9" t="s">
        <v>257</v>
      </c>
      <c r="L68" s="9" t="s">
        <v>353</v>
      </c>
      <c r="M68" s="8">
        <v>3</v>
      </c>
      <c r="N68" s="9" t="s">
        <v>354</v>
      </c>
    </row>
    <row r="69" spans="1:14" x14ac:dyDescent="0.3">
      <c r="A69" s="8">
        <v>953</v>
      </c>
      <c r="B69" s="9" t="s">
        <v>355</v>
      </c>
      <c r="C69" s="9" t="s">
        <v>356</v>
      </c>
      <c r="D69" s="9" t="s">
        <v>22</v>
      </c>
      <c r="E69" s="9" t="s">
        <v>70</v>
      </c>
      <c r="F69" s="7">
        <v>41705</v>
      </c>
      <c r="G69" s="10">
        <v>4581</v>
      </c>
      <c r="H69" s="8">
        <v>630238140</v>
      </c>
      <c r="I69" s="9" t="s">
        <v>357</v>
      </c>
      <c r="J69" s="8">
        <v>91724</v>
      </c>
      <c r="K69" s="9" t="s">
        <v>257</v>
      </c>
      <c r="L69" s="9" t="s">
        <v>358</v>
      </c>
      <c r="M69" s="8">
        <v>3</v>
      </c>
      <c r="N69" s="9" t="s">
        <v>96</v>
      </c>
    </row>
    <row r="70" spans="1:14" x14ac:dyDescent="0.3">
      <c r="A70" s="8">
        <v>954</v>
      </c>
      <c r="B70" s="9" t="s">
        <v>359</v>
      </c>
      <c r="C70" s="9" t="s">
        <v>360</v>
      </c>
      <c r="D70" s="9" t="s">
        <v>22</v>
      </c>
      <c r="E70" s="9" t="s">
        <v>87</v>
      </c>
      <c r="F70" s="7">
        <v>40855</v>
      </c>
      <c r="G70" s="10">
        <v>7077</v>
      </c>
      <c r="H70" s="8">
        <v>670531672</v>
      </c>
      <c r="I70" s="9" t="s">
        <v>361</v>
      </c>
      <c r="J70" s="8">
        <v>95966</v>
      </c>
      <c r="K70" s="9" t="s">
        <v>269</v>
      </c>
      <c r="L70" s="9" t="s">
        <v>362</v>
      </c>
      <c r="M70" s="8">
        <v>2</v>
      </c>
      <c r="N70" s="9" t="s">
        <v>363</v>
      </c>
    </row>
    <row r="71" spans="1:14" x14ac:dyDescent="0.3">
      <c r="A71" s="8">
        <v>955</v>
      </c>
      <c r="B71" s="9" t="s">
        <v>20</v>
      </c>
      <c r="C71" s="9" t="s">
        <v>21</v>
      </c>
      <c r="D71" s="9" t="s">
        <v>22</v>
      </c>
      <c r="E71" s="9" t="s">
        <v>23</v>
      </c>
      <c r="F71" s="7">
        <v>43088</v>
      </c>
      <c r="G71" s="10">
        <v>6002</v>
      </c>
      <c r="H71" s="8">
        <v>652089911</v>
      </c>
      <c r="I71" s="9" t="s">
        <v>24</v>
      </c>
      <c r="J71" s="8">
        <v>95820</v>
      </c>
      <c r="K71" s="9" t="s">
        <v>25</v>
      </c>
      <c r="L71" s="9" t="s">
        <v>26</v>
      </c>
      <c r="M71" s="8">
        <v>3</v>
      </c>
      <c r="N71" s="9" t="s">
        <v>27</v>
      </c>
    </row>
    <row r="72" spans="1:14" x14ac:dyDescent="0.3">
      <c r="A72" s="8">
        <v>956</v>
      </c>
      <c r="B72" s="9" t="s">
        <v>28</v>
      </c>
      <c r="C72" s="9" t="s">
        <v>29</v>
      </c>
      <c r="D72" s="9" t="s">
        <v>22</v>
      </c>
      <c r="E72" s="9" t="s">
        <v>30</v>
      </c>
      <c r="F72" s="7">
        <v>41646</v>
      </c>
      <c r="G72" s="10">
        <v>5323</v>
      </c>
      <c r="H72" s="8">
        <v>694192954</v>
      </c>
      <c r="I72" s="9" t="s">
        <v>31</v>
      </c>
      <c r="J72" s="8">
        <v>75692</v>
      </c>
      <c r="K72" s="9" t="s">
        <v>32</v>
      </c>
      <c r="L72" s="9" t="s">
        <v>33</v>
      </c>
      <c r="M72" s="8">
        <v>1</v>
      </c>
      <c r="N72" s="9" t="s">
        <v>34</v>
      </c>
    </row>
    <row r="73" spans="1:14" x14ac:dyDescent="0.3">
      <c r="A73" s="8">
        <v>957</v>
      </c>
      <c r="B73" s="9" t="s">
        <v>35</v>
      </c>
      <c r="C73" s="9" t="s">
        <v>36</v>
      </c>
      <c r="D73" s="9" t="s">
        <v>22</v>
      </c>
      <c r="E73" s="9" t="s">
        <v>37</v>
      </c>
      <c r="F73" s="7">
        <v>40790</v>
      </c>
      <c r="G73" s="10">
        <v>4423</v>
      </c>
      <c r="H73" s="8">
        <v>684433226</v>
      </c>
      <c r="I73" s="9" t="s">
        <v>38</v>
      </c>
      <c r="J73" s="8">
        <v>75368</v>
      </c>
      <c r="K73" s="9" t="s">
        <v>39</v>
      </c>
      <c r="L73" s="9" t="s">
        <v>40</v>
      </c>
      <c r="M73" s="8">
        <v>3</v>
      </c>
      <c r="N73" s="9" t="s">
        <v>41</v>
      </c>
    </row>
    <row r="74" spans="1:14" x14ac:dyDescent="0.3">
      <c r="A74" s="8">
        <v>958</v>
      </c>
      <c r="B74" s="9" t="s">
        <v>42</v>
      </c>
      <c r="C74" s="9" t="s">
        <v>43</v>
      </c>
      <c r="D74" s="9" t="s">
        <v>22</v>
      </c>
      <c r="E74" s="9" t="s">
        <v>44</v>
      </c>
      <c r="F74" s="7">
        <v>42486</v>
      </c>
      <c r="G74" s="10">
        <v>2565</v>
      </c>
      <c r="H74" s="8">
        <v>686838320</v>
      </c>
      <c r="I74" s="9" t="s">
        <v>45</v>
      </c>
      <c r="J74" s="8">
        <v>95641</v>
      </c>
      <c r="K74" s="9" t="s">
        <v>46</v>
      </c>
      <c r="L74" s="9" t="s">
        <v>47</v>
      </c>
      <c r="M74" s="8">
        <v>3</v>
      </c>
      <c r="N74" s="9" t="s">
        <v>48</v>
      </c>
    </row>
    <row r="75" spans="1:14" x14ac:dyDescent="0.3">
      <c r="A75" s="8">
        <v>959</v>
      </c>
      <c r="B75" s="9" t="s">
        <v>49</v>
      </c>
      <c r="C75" s="9" t="s">
        <v>50</v>
      </c>
      <c r="D75" s="9" t="s">
        <v>22</v>
      </c>
      <c r="E75" s="9" t="s">
        <v>44</v>
      </c>
      <c r="F75" s="7">
        <v>40585</v>
      </c>
      <c r="G75" s="10">
        <v>4681</v>
      </c>
      <c r="H75" s="8">
        <v>663575324</v>
      </c>
      <c r="I75" s="9" t="s">
        <v>51</v>
      </c>
      <c r="J75" s="8">
        <v>92714</v>
      </c>
      <c r="K75" s="9" t="s">
        <v>52</v>
      </c>
      <c r="L75" s="9" t="s">
        <v>53</v>
      </c>
      <c r="M75" s="8">
        <v>2</v>
      </c>
      <c r="N75" s="9" t="s">
        <v>48</v>
      </c>
    </row>
    <row r="76" spans="1:14" x14ac:dyDescent="0.3">
      <c r="A76" s="8">
        <v>960</v>
      </c>
      <c r="B76" s="9" t="s">
        <v>54</v>
      </c>
      <c r="C76" s="9" t="s">
        <v>55</v>
      </c>
      <c r="D76" s="9" t="s">
        <v>22</v>
      </c>
      <c r="E76" s="9" t="s">
        <v>56</v>
      </c>
      <c r="F76" s="7">
        <v>41745</v>
      </c>
      <c r="G76" s="10">
        <v>7739</v>
      </c>
      <c r="H76" s="8">
        <v>682855406</v>
      </c>
      <c r="I76" s="9" t="s">
        <v>57</v>
      </c>
      <c r="J76" s="8">
        <v>78280</v>
      </c>
      <c r="K76" s="9" t="s">
        <v>58</v>
      </c>
      <c r="L76" s="9" t="s">
        <v>59</v>
      </c>
      <c r="M76" s="8">
        <v>1</v>
      </c>
      <c r="N76" s="9" t="s">
        <v>60</v>
      </c>
    </row>
    <row r="77" spans="1:14" x14ac:dyDescent="0.3">
      <c r="A77" s="8">
        <v>961</v>
      </c>
      <c r="B77" s="9" t="s">
        <v>61</v>
      </c>
      <c r="C77" s="9" t="s">
        <v>62</v>
      </c>
      <c r="D77" s="9" t="s">
        <v>22</v>
      </c>
      <c r="E77" s="9" t="s">
        <v>63</v>
      </c>
      <c r="F77" s="7">
        <v>42714</v>
      </c>
      <c r="G77" s="10">
        <v>1689</v>
      </c>
      <c r="H77" s="8">
        <v>624449374</v>
      </c>
      <c r="I77" s="9" t="s">
        <v>64</v>
      </c>
      <c r="J77" s="8">
        <v>75157</v>
      </c>
      <c r="K77" s="9" t="s">
        <v>65</v>
      </c>
      <c r="L77" s="9" t="s">
        <v>66</v>
      </c>
      <c r="M77" s="8">
        <v>2</v>
      </c>
      <c r="N77" s="9" t="s">
        <v>67</v>
      </c>
    </row>
    <row r="78" spans="1:14" x14ac:dyDescent="0.3">
      <c r="A78" s="8">
        <v>962</v>
      </c>
      <c r="B78" s="9" t="s">
        <v>68</v>
      </c>
      <c r="C78" s="9" t="s">
        <v>69</v>
      </c>
      <c r="D78" s="9" t="s">
        <v>22</v>
      </c>
      <c r="E78" s="9" t="s">
        <v>70</v>
      </c>
      <c r="F78" s="7">
        <v>42888</v>
      </c>
      <c r="G78" s="10">
        <v>6270</v>
      </c>
      <c r="H78" s="8">
        <v>650384366</v>
      </c>
      <c r="I78" s="9" t="s">
        <v>71</v>
      </c>
      <c r="J78" s="8">
        <v>91708</v>
      </c>
      <c r="K78" s="9" t="s">
        <v>46</v>
      </c>
      <c r="L78" s="9" t="s">
        <v>72</v>
      </c>
      <c r="M78" s="8">
        <v>2</v>
      </c>
      <c r="N78" s="9" t="s">
        <v>73</v>
      </c>
    </row>
    <row r="79" spans="1:14" x14ac:dyDescent="0.3">
      <c r="A79" s="8">
        <v>963</v>
      </c>
      <c r="B79" s="9" t="s">
        <v>74</v>
      </c>
      <c r="C79" s="9" t="s">
        <v>75</v>
      </c>
      <c r="D79" s="9" t="s">
        <v>22</v>
      </c>
      <c r="E79" s="9" t="s">
        <v>56</v>
      </c>
      <c r="F79" s="7">
        <v>41255</v>
      </c>
      <c r="G79" s="10">
        <v>1472</v>
      </c>
      <c r="H79" s="8">
        <v>697952187</v>
      </c>
      <c r="I79" s="9" t="s">
        <v>76</v>
      </c>
      <c r="J79" s="8">
        <v>95908</v>
      </c>
      <c r="K79" s="9" t="s">
        <v>77</v>
      </c>
      <c r="L79" s="9" t="s">
        <v>78</v>
      </c>
      <c r="M79" s="8">
        <v>3</v>
      </c>
      <c r="N79" s="9" t="s">
        <v>79</v>
      </c>
    </row>
    <row r="80" spans="1:14" x14ac:dyDescent="0.3">
      <c r="A80" s="8">
        <v>964</v>
      </c>
      <c r="B80" s="9" t="s">
        <v>80</v>
      </c>
      <c r="C80" s="9" t="s">
        <v>81</v>
      </c>
      <c r="D80" s="9" t="s">
        <v>22</v>
      </c>
      <c r="E80" s="9" t="s">
        <v>30</v>
      </c>
      <c r="F80" s="7">
        <v>40549</v>
      </c>
      <c r="G80" s="10">
        <v>1118</v>
      </c>
      <c r="H80" s="8">
        <v>630522941</v>
      </c>
      <c r="I80" s="9" t="s">
        <v>82</v>
      </c>
      <c r="J80" s="8">
        <v>75456</v>
      </c>
      <c r="K80" s="9" t="s">
        <v>83</v>
      </c>
      <c r="L80" s="9" t="s">
        <v>84</v>
      </c>
      <c r="M80" s="8">
        <v>1</v>
      </c>
      <c r="N80" s="9" t="s">
        <v>34</v>
      </c>
    </row>
    <row r="81" spans="1:14" x14ac:dyDescent="0.3">
      <c r="A81" s="8">
        <v>965</v>
      </c>
      <c r="B81" s="9" t="s">
        <v>85</v>
      </c>
      <c r="C81" s="9" t="s">
        <v>86</v>
      </c>
      <c r="D81" s="9" t="s">
        <v>22</v>
      </c>
      <c r="E81" s="9" t="s">
        <v>87</v>
      </c>
      <c r="F81" s="7">
        <v>42811</v>
      </c>
      <c r="G81" s="10">
        <v>2721</v>
      </c>
      <c r="H81" s="8">
        <v>653739282</v>
      </c>
      <c r="I81" s="9" t="s">
        <v>88</v>
      </c>
      <c r="J81" s="8">
        <v>93765</v>
      </c>
      <c r="K81" s="9" t="s">
        <v>89</v>
      </c>
      <c r="L81" s="9" t="s">
        <v>90</v>
      </c>
      <c r="M81" s="8">
        <v>3</v>
      </c>
      <c r="N81" s="9" t="s">
        <v>91</v>
      </c>
    </row>
    <row r="82" spans="1:14" x14ac:dyDescent="0.3">
      <c r="A82" s="8">
        <v>966</v>
      </c>
      <c r="B82" s="9" t="s">
        <v>92</v>
      </c>
      <c r="C82" s="9" t="s">
        <v>93</v>
      </c>
      <c r="D82" s="9" t="s">
        <v>22</v>
      </c>
      <c r="E82" s="9" t="s">
        <v>70</v>
      </c>
      <c r="F82" s="7">
        <v>43414</v>
      </c>
      <c r="G82" s="10">
        <v>3346</v>
      </c>
      <c r="H82" s="8">
        <v>696286086</v>
      </c>
      <c r="I82" s="9" t="s">
        <v>94</v>
      </c>
      <c r="J82" s="8">
        <v>75273</v>
      </c>
      <c r="K82" s="9" t="s">
        <v>39</v>
      </c>
      <c r="L82" s="9" t="s">
        <v>95</v>
      </c>
      <c r="M82" s="8">
        <v>1</v>
      </c>
      <c r="N82" s="9" t="s">
        <v>96</v>
      </c>
    </row>
    <row r="83" spans="1:14" x14ac:dyDescent="0.3">
      <c r="A83" s="8">
        <v>967</v>
      </c>
      <c r="B83" s="9" t="s">
        <v>97</v>
      </c>
      <c r="C83" s="9" t="s">
        <v>98</v>
      </c>
      <c r="D83" s="9" t="s">
        <v>22</v>
      </c>
      <c r="E83" s="9" t="s">
        <v>37</v>
      </c>
      <c r="F83" s="7">
        <v>40804</v>
      </c>
      <c r="G83" s="10">
        <v>1230</v>
      </c>
      <c r="H83" s="8">
        <v>671131236</v>
      </c>
      <c r="I83" s="9" t="s">
        <v>99</v>
      </c>
      <c r="J83" s="8">
        <v>95410</v>
      </c>
      <c r="K83" s="9" t="s">
        <v>83</v>
      </c>
      <c r="L83" s="9" t="s">
        <v>100</v>
      </c>
      <c r="M83" s="8">
        <v>1</v>
      </c>
      <c r="N83" s="9" t="s">
        <v>101</v>
      </c>
    </row>
    <row r="84" spans="1:14" x14ac:dyDescent="0.3">
      <c r="A84" s="8">
        <v>968</v>
      </c>
      <c r="B84" s="9" t="s">
        <v>102</v>
      </c>
      <c r="C84" s="9" t="s">
        <v>103</v>
      </c>
      <c r="D84" s="9" t="s">
        <v>22</v>
      </c>
      <c r="E84" s="9" t="s">
        <v>87</v>
      </c>
      <c r="F84" s="7">
        <v>41572</v>
      </c>
      <c r="G84" s="10">
        <v>1358</v>
      </c>
      <c r="H84" s="8">
        <v>629568737</v>
      </c>
      <c r="I84" s="9" t="s">
        <v>104</v>
      </c>
      <c r="J84" s="8">
        <v>78627</v>
      </c>
      <c r="K84" s="9" t="s">
        <v>32</v>
      </c>
      <c r="L84" s="9" t="s">
        <v>105</v>
      </c>
      <c r="M84" s="8">
        <v>1</v>
      </c>
      <c r="N84" s="9" t="s">
        <v>67</v>
      </c>
    </row>
    <row r="85" spans="1:14" x14ac:dyDescent="0.3">
      <c r="A85" s="8">
        <v>969</v>
      </c>
      <c r="B85" s="9" t="s">
        <v>106</v>
      </c>
      <c r="C85" s="9" t="s">
        <v>107</v>
      </c>
      <c r="D85" s="9" t="s">
        <v>22</v>
      </c>
      <c r="E85" s="9" t="s">
        <v>56</v>
      </c>
      <c r="F85" s="7">
        <v>44036</v>
      </c>
      <c r="G85" s="10">
        <v>1625</v>
      </c>
      <c r="H85" s="8">
        <v>693867757</v>
      </c>
      <c r="I85" s="9" t="s">
        <v>108</v>
      </c>
      <c r="J85" s="8">
        <v>91474</v>
      </c>
      <c r="K85" s="9" t="s">
        <v>109</v>
      </c>
      <c r="L85" s="9" t="s">
        <v>110</v>
      </c>
      <c r="M85" s="8">
        <v>2</v>
      </c>
      <c r="N85" s="9" t="s">
        <v>79</v>
      </c>
    </row>
    <row r="86" spans="1:14" x14ac:dyDescent="0.3">
      <c r="A86" s="8">
        <v>970</v>
      </c>
      <c r="B86" s="9" t="s">
        <v>111</v>
      </c>
      <c r="C86" s="9" t="s">
        <v>112</v>
      </c>
      <c r="D86" s="9" t="s">
        <v>22</v>
      </c>
      <c r="E86" s="9" t="s">
        <v>37</v>
      </c>
      <c r="F86" s="7">
        <v>42077</v>
      </c>
      <c r="G86" s="10">
        <v>1787</v>
      </c>
      <c r="H86" s="8">
        <v>653095392</v>
      </c>
      <c r="I86" s="9" t="s">
        <v>113</v>
      </c>
      <c r="J86" s="8">
        <v>94418</v>
      </c>
      <c r="K86" s="9" t="s">
        <v>114</v>
      </c>
      <c r="L86" s="9" t="s">
        <v>115</v>
      </c>
      <c r="M86" s="8">
        <v>2</v>
      </c>
      <c r="N86" s="9" t="s">
        <v>41</v>
      </c>
    </row>
    <row r="87" spans="1:14" x14ac:dyDescent="0.3">
      <c r="A87" s="8">
        <v>971</v>
      </c>
      <c r="B87" s="9" t="s">
        <v>116</v>
      </c>
      <c r="C87" s="9" t="s">
        <v>117</v>
      </c>
      <c r="D87" s="9" t="s">
        <v>22</v>
      </c>
      <c r="E87" s="9" t="s">
        <v>87</v>
      </c>
      <c r="F87" s="7">
        <v>40466</v>
      </c>
      <c r="G87" s="10">
        <v>6874</v>
      </c>
      <c r="H87" s="8">
        <v>657151896</v>
      </c>
      <c r="I87" s="9" t="s">
        <v>118</v>
      </c>
      <c r="J87" s="8">
        <v>75543</v>
      </c>
      <c r="K87" s="9" t="s">
        <v>83</v>
      </c>
      <c r="L87" s="9" t="s">
        <v>119</v>
      </c>
      <c r="M87" s="8">
        <v>2</v>
      </c>
      <c r="N87" s="9" t="s">
        <v>120</v>
      </c>
    </row>
    <row r="88" spans="1:14" x14ac:dyDescent="0.3">
      <c r="A88" s="8">
        <v>972</v>
      </c>
      <c r="B88" s="9" t="s">
        <v>121</v>
      </c>
      <c r="C88" s="9" t="s">
        <v>122</v>
      </c>
      <c r="D88" s="9" t="s">
        <v>22</v>
      </c>
      <c r="E88" s="9" t="s">
        <v>56</v>
      </c>
      <c r="F88" s="7">
        <v>41256</v>
      </c>
      <c r="G88" s="10">
        <v>7287</v>
      </c>
      <c r="H88" s="8">
        <v>689065504</v>
      </c>
      <c r="I88" s="9" t="s">
        <v>123</v>
      </c>
      <c r="J88" s="8">
        <v>78510</v>
      </c>
      <c r="K88" s="9" t="s">
        <v>124</v>
      </c>
      <c r="L88" s="9" t="s">
        <v>125</v>
      </c>
      <c r="M88" s="8">
        <v>1</v>
      </c>
      <c r="N88" s="9" t="s">
        <v>79</v>
      </c>
    </row>
    <row r="89" spans="1:14" x14ac:dyDescent="0.3">
      <c r="A89" s="8">
        <v>973</v>
      </c>
      <c r="B89" s="9" t="s">
        <v>126</v>
      </c>
      <c r="C89" s="9" t="s">
        <v>127</v>
      </c>
      <c r="D89" s="9" t="s">
        <v>22</v>
      </c>
      <c r="E89" s="9" t="s">
        <v>44</v>
      </c>
      <c r="F89" s="7">
        <v>42688</v>
      </c>
      <c r="G89" s="10">
        <v>2393</v>
      </c>
      <c r="H89" s="8">
        <v>679132214</v>
      </c>
      <c r="I89" s="9" t="s">
        <v>128</v>
      </c>
      <c r="J89" s="8">
        <v>94876</v>
      </c>
      <c r="K89" s="9" t="s">
        <v>129</v>
      </c>
      <c r="L89" s="9" t="s">
        <v>130</v>
      </c>
      <c r="M89" s="8">
        <v>1</v>
      </c>
      <c r="N89" s="9" t="s">
        <v>131</v>
      </c>
    </row>
    <row r="90" spans="1:14" x14ac:dyDescent="0.3">
      <c r="A90" s="8">
        <v>974</v>
      </c>
      <c r="B90" s="9" t="s">
        <v>132</v>
      </c>
      <c r="C90" s="9" t="s">
        <v>133</v>
      </c>
      <c r="D90" s="9" t="s">
        <v>22</v>
      </c>
      <c r="E90" s="9" t="s">
        <v>37</v>
      </c>
      <c r="F90" s="7">
        <v>42085</v>
      </c>
      <c r="G90" s="10">
        <v>1613</v>
      </c>
      <c r="H90" s="8">
        <v>692092950</v>
      </c>
      <c r="I90" s="9" t="s">
        <v>134</v>
      </c>
      <c r="J90" s="8">
        <v>95374</v>
      </c>
      <c r="K90" s="9" t="s">
        <v>89</v>
      </c>
      <c r="L90" s="9" t="s">
        <v>135</v>
      </c>
      <c r="M90" s="8">
        <v>3</v>
      </c>
      <c r="N90" s="9" t="s">
        <v>41</v>
      </c>
    </row>
    <row r="91" spans="1:14" x14ac:dyDescent="0.3">
      <c r="A91" s="8">
        <v>976</v>
      </c>
      <c r="B91" s="9" t="s">
        <v>141</v>
      </c>
      <c r="C91" s="9" t="s">
        <v>142</v>
      </c>
      <c r="D91" s="9" t="s">
        <v>22</v>
      </c>
      <c r="E91" s="9" t="s">
        <v>63</v>
      </c>
      <c r="F91" s="7">
        <v>44077</v>
      </c>
      <c r="G91" s="10">
        <v>2374</v>
      </c>
      <c r="H91" s="8">
        <v>686699864</v>
      </c>
      <c r="I91" s="9" t="s">
        <v>143</v>
      </c>
      <c r="J91" s="8">
        <v>78471</v>
      </c>
      <c r="K91" s="9" t="s">
        <v>129</v>
      </c>
      <c r="L91" s="9" t="s">
        <v>144</v>
      </c>
      <c r="M91" s="8">
        <v>2</v>
      </c>
      <c r="N91" s="9" t="s">
        <v>145</v>
      </c>
    </row>
    <row r="92" spans="1:14" x14ac:dyDescent="0.3">
      <c r="A92" s="8">
        <v>977</v>
      </c>
      <c r="B92" s="9" t="s">
        <v>146</v>
      </c>
      <c r="C92" s="9" t="s">
        <v>147</v>
      </c>
      <c r="D92" s="9" t="s">
        <v>22</v>
      </c>
      <c r="E92" s="9" t="s">
        <v>30</v>
      </c>
      <c r="F92" s="7">
        <v>43501</v>
      </c>
      <c r="G92" s="10">
        <v>1466</v>
      </c>
      <c r="H92" s="8">
        <v>612371534</v>
      </c>
      <c r="I92" s="9" t="s">
        <v>148</v>
      </c>
      <c r="J92" s="8">
        <v>78829</v>
      </c>
      <c r="K92" s="9" t="s">
        <v>77</v>
      </c>
      <c r="L92" s="9" t="s">
        <v>149</v>
      </c>
      <c r="M92" s="8">
        <v>2</v>
      </c>
      <c r="N92" s="9" t="s">
        <v>150</v>
      </c>
    </row>
    <row r="93" spans="1:14" x14ac:dyDescent="0.3">
      <c r="A93" s="8">
        <v>978</v>
      </c>
      <c r="B93" s="9" t="s">
        <v>151</v>
      </c>
      <c r="C93" s="9" t="s">
        <v>152</v>
      </c>
      <c r="D93" s="9" t="s">
        <v>22</v>
      </c>
      <c r="E93" s="9" t="s">
        <v>63</v>
      </c>
      <c r="F93" s="7">
        <v>40613</v>
      </c>
      <c r="G93" s="10">
        <v>1971</v>
      </c>
      <c r="H93" s="8">
        <v>677591798</v>
      </c>
      <c r="I93" s="9" t="s">
        <v>153</v>
      </c>
      <c r="J93" s="8">
        <v>93282</v>
      </c>
      <c r="K93" s="9" t="s">
        <v>114</v>
      </c>
      <c r="L93" s="9" t="s">
        <v>154</v>
      </c>
      <c r="M93" s="8">
        <v>2</v>
      </c>
      <c r="N93" s="9" t="s">
        <v>60</v>
      </c>
    </row>
    <row r="94" spans="1:14" x14ac:dyDescent="0.3">
      <c r="A94" s="8">
        <v>979</v>
      </c>
      <c r="B94" s="9" t="s">
        <v>155</v>
      </c>
      <c r="C94" s="9" t="s">
        <v>156</v>
      </c>
      <c r="D94" s="9" t="s">
        <v>22</v>
      </c>
      <c r="E94" s="9" t="s">
        <v>138</v>
      </c>
      <c r="F94" s="7">
        <v>41099</v>
      </c>
      <c r="G94" s="10">
        <v>4549</v>
      </c>
      <c r="H94" s="8">
        <v>640935168</v>
      </c>
      <c r="I94" s="9" t="s">
        <v>157</v>
      </c>
      <c r="J94" s="8">
        <v>75767</v>
      </c>
      <c r="K94" s="9" t="s">
        <v>39</v>
      </c>
      <c r="L94" s="9" t="s">
        <v>158</v>
      </c>
      <c r="M94" s="8">
        <v>2</v>
      </c>
      <c r="N94" s="9" t="s">
        <v>41</v>
      </c>
    </row>
    <row r="95" spans="1:14" x14ac:dyDescent="0.3">
      <c r="A95" s="8">
        <v>980</v>
      </c>
      <c r="B95" s="9" t="s">
        <v>159</v>
      </c>
      <c r="C95" s="9" t="s">
        <v>160</v>
      </c>
      <c r="D95" s="9" t="s">
        <v>22</v>
      </c>
      <c r="E95" s="9" t="s">
        <v>44</v>
      </c>
      <c r="F95" s="7">
        <v>41202</v>
      </c>
      <c r="G95" s="10">
        <v>3085</v>
      </c>
      <c r="H95" s="8">
        <v>614486424</v>
      </c>
      <c r="I95" s="9" t="s">
        <v>161</v>
      </c>
      <c r="J95" s="8">
        <v>78458</v>
      </c>
      <c r="K95" s="9" t="s">
        <v>162</v>
      </c>
      <c r="L95" s="9" t="s">
        <v>163</v>
      </c>
      <c r="M95" s="8">
        <v>1</v>
      </c>
      <c r="N95" s="9" t="s">
        <v>164</v>
      </c>
    </row>
    <row r="96" spans="1:14" x14ac:dyDescent="0.3">
      <c r="A96" s="8">
        <v>981</v>
      </c>
      <c r="B96" s="9" t="s">
        <v>165</v>
      </c>
      <c r="C96" s="9" t="s">
        <v>166</v>
      </c>
      <c r="D96" s="9" t="s">
        <v>22</v>
      </c>
      <c r="E96" s="9" t="s">
        <v>44</v>
      </c>
      <c r="F96" s="7">
        <v>41112</v>
      </c>
      <c r="G96" s="10">
        <v>7841</v>
      </c>
      <c r="H96" s="8">
        <v>617288946</v>
      </c>
      <c r="I96" s="9" t="s">
        <v>167</v>
      </c>
      <c r="J96" s="8">
        <v>93655</v>
      </c>
      <c r="K96" s="9" t="s">
        <v>168</v>
      </c>
      <c r="L96" s="9" t="s">
        <v>169</v>
      </c>
      <c r="M96" s="8">
        <v>3</v>
      </c>
      <c r="N96" s="9" t="s">
        <v>164</v>
      </c>
    </row>
    <row r="97" spans="1:14" x14ac:dyDescent="0.3">
      <c r="A97" s="8">
        <v>982</v>
      </c>
      <c r="B97" s="9" t="s">
        <v>170</v>
      </c>
      <c r="C97" s="9" t="s">
        <v>171</v>
      </c>
      <c r="D97" s="9" t="s">
        <v>22</v>
      </c>
      <c r="E97" s="9" t="s">
        <v>37</v>
      </c>
      <c r="F97" s="7">
        <v>44098</v>
      </c>
      <c r="G97" s="10">
        <v>7359</v>
      </c>
      <c r="H97" s="8">
        <v>678574976</v>
      </c>
      <c r="I97" s="9" t="s">
        <v>172</v>
      </c>
      <c r="J97" s="8">
        <v>94753</v>
      </c>
      <c r="K97" s="9" t="s">
        <v>162</v>
      </c>
      <c r="L97" s="9" t="s">
        <v>173</v>
      </c>
      <c r="M97" s="8">
        <v>3</v>
      </c>
      <c r="N97" s="9" t="s">
        <v>101</v>
      </c>
    </row>
    <row r="98" spans="1:14" x14ac:dyDescent="0.3">
      <c r="A98" s="8">
        <v>983</v>
      </c>
      <c r="B98" s="9" t="s">
        <v>174</v>
      </c>
      <c r="C98" s="9" t="s">
        <v>175</v>
      </c>
      <c r="D98" s="9" t="s">
        <v>22</v>
      </c>
      <c r="E98" s="9" t="s">
        <v>56</v>
      </c>
      <c r="F98" s="7">
        <v>42378</v>
      </c>
      <c r="G98" s="10">
        <v>2627</v>
      </c>
      <c r="H98" s="8">
        <v>621351582</v>
      </c>
      <c r="I98" s="9" t="s">
        <v>176</v>
      </c>
      <c r="J98" s="8">
        <v>75567</v>
      </c>
      <c r="K98" s="9" t="s">
        <v>83</v>
      </c>
      <c r="L98" s="9" t="s">
        <v>177</v>
      </c>
      <c r="M98" s="8">
        <v>1</v>
      </c>
      <c r="N98" s="9" t="s">
        <v>60</v>
      </c>
    </row>
    <row r="99" spans="1:14" x14ac:dyDescent="0.3">
      <c r="A99" s="8">
        <v>984</v>
      </c>
      <c r="B99" s="9" t="s">
        <v>178</v>
      </c>
      <c r="C99" s="9" t="s">
        <v>179</v>
      </c>
      <c r="D99" s="9" t="s">
        <v>22</v>
      </c>
      <c r="E99" s="9" t="s">
        <v>87</v>
      </c>
      <c r="F99" s="7">
        <v>40381</v>
      </c>
      <c r="G99" s="10">
        <v>5173</v>
      </c>
      <c r="H99" s="8">
        <v>651906600</v>
      </c>
      <c r="I99" s="9" t="s">
        <v>180</v>
      </c>
      <c r="J99" s="8">
        <v>78971</v>
      </c>
      <c r="K99" s="9" t="s">
        <v>46</v>
      </c>
      <c r="L99" s="9" t="s">
        <v>181</v>
      </c>
      <c r="M99" s="8">
        <v>3</v>
      </c>
      <c r="N99" s="9" t="s">
        <v>91</v>
      </c>
    </row>
    <row r="100" spans="1:14" x14ac:dyDescent="0.3">
      <c r="A100" s="8">
        <v>985</v>
      </c>
      <c r="B100" s="9" t="s">
        <v>182</v>
      </c>
      <c r="C100" s="9" t="s">
        <v>183</v>
      </c>
      <c r="D100" s="9" t="s">
        <v>22</v>
      </c>
      <c r="E100" s="9" t="s">
        <v>138</v>
      </c>
      <c r="F100" s="7">
        <v>40933</v>
      </c>
      <c r="G100" s="10">
        <v>5894</v>
      </c>
      <c r="H100" s="8">
        <v>681345345</v>
      </c>
      <c r="I100" s="9" t="s">
        <v>184</v>
      </c>
      <c r="J100" s="8">
        <v>91394</v>
      </c>
      <c r="K100" s="9" t="s">
        <v>65</v>
      </c>
      <c r="L100" s="9" t="s">
        <v>185</v>
      </c>
      <c r="M100" s="8">
        <v>1</v>
      </c>
      <c r="N100" s="9" t="s">
        <v>27</v>
      </c>
    </row>
    <row r="101" spans="1:14" x14ac:dyDescent="0.3">
      <c r="A101" s="8">
        <v>986</v>
      </c>
      <c r="B101" s="9" t="s">
        <v>186</v>
      </c>
      <c r="C101" s="9" t="s">
        <v>187</v>
      </c>
      <c r="D101" s="9" t="s">
        <v>22</v>
      </c>
      <c r="E101" s="9" t="s">
        <v>70</v>
      </c>
      <c r="F101" s="7">
        <v>41027</v>
      </c>
      <c r="G101" s="10">
        <v>4384</v>
      </c>
      <c r="H101" s="8">
        <v>658875000</v>
      </c>
      <c r="I101" s="9" t="s">
        <v>188</v>
      </c>
      <c r="J101" s="8">
        <v>75311</v>
      </c>
      <c r="K101" s="9" t="s">
        <v>189</v>
      </c>
      <c r="L101" s="9" t="s">
        <v>190</v>
      </c>
      <c r="M101" s="8">
        <v>1</v>
      </c>
      <c r="N101" s="9" t="s">
        <v>96</v>
      </c>
    </row>
    <row r="102" spans="1:14" x14ac:dyDescent="0.3">
      <c r="A102" s="8">
        <v>987</v>
      </c>
      <c r="B102" s="9" t="s">
        <v>191</v>
      </c>
      <c r="C102" s="9" t="s">
        <v>192</v>
      </c>
      <c r="D102" s="9" t="s">
        <v>22</v>
      </c>
      <c r="E102" s="9" t="s">
        <v>30</v>
      </c>
      <c r="F102" s="7">
        <v>42638</v>
      </c>
      <c r="G102" s="10">
        <v>3128</v>
      </c>
      <c r="H102" s="8">
        <v>629762141</v>
      </c>
      <c r="I102" s="9" t="s">
        <v>193</v>
      </c>
      <c r="J102" s="8">
        <v>78333</v>
      </c>
      <c r="K102" s="9" t="s">
        <v>194</v>
      </c>
      <c r="L102" s="9" t="s">
        <v>195</v>
      </c>
      <c r="M102" s="8">
        <v>1</v>
      </c>
      <c r="N102" s="9" t="s">
        <v>34</v>
      </c>
    </row>
    <row r="103" spans="1:14" x14ac:dyDescent="0.3">
      <c r="A103" s="8">
        <v>988</v>
      </c>
      <c r="B103" s="9" t="s">
        <v>196</v>
      </c>
      <c r="C103" s="9" t="s">
        <v>197</v>
      </c>
      <c r="D103" s="9" t="s">
        <v>22</v>
      </c>
      <c r="E103" s="9" t="s">
        <v>30</v>
      </c>
      <c r="F103" s="7">
        <v>40882</v>
      </c>
      <c r="G103" s="10">
        <v>6346</v>
      </c>
      <c r="H103" s="8">
        <v>632045644</v>
      </c>
      <c r="I103" s="9" t="s">
        <v>198</v>
      </c>
      <c r="J103" s="8">
        <v>92889</v>
      </c>
      <c r="K103" s="9" t="s">
        <v>124</v>
      </c>
      <c r="L103" s="9" t="s">
        <v>199</v>
      </c>
      <c r="M103" s="8">
        <v>3</v>
      </c>
      <c r="N103" s="9" t="s">
        <v>200</v>
      </c>
    </row>
    <row r="104" spans="1:14" x14ac:dyDescent="0.3">
      <c r="A104" s="8">
        <v>989</v>
      </c>
      <c r="B104" s="9" t="s">
        <v>201</v>
      </c>
      <c r="C104" s="9" t="s">
        <v>202</v>
      </c>
      <c r="D104" s="9" t="s">
        <v>22</v>
      </c>
      <c r="E104" s="9" t="s">
        <v>138</v>
      </c>
      <c r="F104" s="7">
        <v>42325</v>
      </c>
      <c r="G104" s="10">
        <v>3123</v>
      </c>
      <c r="H104" s="8">
        <v>660712410</v>
      </c>
      <c r="I104" s="9" t="s">
        <v>203</v>
      </c>
      <c r="J104" s="8">
        <v>91458</v>
      </c>
      <c r="K104" s="9" t="s">
        <v>65</v>
      </c>
      <c r="L104" s="9" t="s">
        <v>204</v>
      </c>
      <c r="M104" s="8">
        <v>1</v>
      </c>
      <c r="N104" s="9" t="s">
        <v>27</v>
      </c>
    </row>
    <row r="105" spans="1:14" x14ac:dyDescent="0.3">
      <c r="A105" s="8">
        <v>990</v>
      </c>
      <c r="B105" s="9" t="s">
        <v>205</v>
      </c>
      <c r="C105" s="9" t="s">
        <v>206</v>
      </c>
      <c r="D105" s="9" t="s">
        <v>22</v>
      </c>
      <c r="E105" s="9" t="s">
        <v>44</v>
      </c>
      <c r="F105" s="7">
        <v>43148</v>
      </c>
      <c r="G105" s="10">
        <v>5696</v>
      </c>
      <c r="H105" s="8">
        <v>633122169</v>
      </c>
      <c r="I105" s="9" t="s">
        <v>207</v>
      </c>
      <c r="J105" s="8">
        <v>94218</v>
      </c>
      <c r="K105" s="9" t="s">
        <v>208</v>
      </c>
      <c r="L105" s="9" t="s">
        <v>209</v>
      </c>
      <c r="M105" s="8">
        <v>3</v>
      </c>
      <c r="N105" s="9" t="s">
        <v>48</v>
      </c>
    </row>
    <row r="106" spans="1:14" x14ac:dyDescent="0.3">
      <c r="A106" s="8">
        <v>991</v>
      </c>
      <c r="B106" s="9" t="s">
        <v>210</v>
      </c>
      <c r="C106" s="9" t="s">
        <v>211</v>
      </c>
      <c r="D106" s="9" t="s">
        <v>22</v>
      </c>
      <c r="E106" s="9" t="s">
        <v>56</v>
      </c>
      <c r="F106" s="7">
        <v>40231</v>
      </c>
      <c r="G106" s="10">
        <v>2864</v>
      </c>
      <c r="H106" s="8">
        <v>669225370</v>
      </c>
      <c r="I106" s="9" t="s">
        <v>212</v>
      </c>
      <c r="J106" s="8">
        <v>75406</v>
      </c>
      <c r="K106" s="9" t="s">
        <v>213</v>
      </c>
      <c r="L106" s="9" t="s">
        <v>214</v>
      </c>
      <c r="M106" s="8">
        <v>1</v>
      </c>
      <c r="N106" s="9" t="s">
        <v>145</v>
      </c>
    </row>
    <row r="107" spans="1:14" x14ac:dyDescent="0.3">
      <c r="A107" s="8">
        <v>992</v>
      </c>
      <c r="B107" s="9" t="s">
        <v>215</v>
      </c>
      <c r="C107" s="9" t="s">
        <v>216</v>
      </c>
      <c r="D107" s="9" t="s">
        <v>22</v>
      </c>
      <c r="E107" s="9" t="s">
        <v>37</v>
      </c>
      <c r="F107" s="7">
        <v>41406</v>
      </c>
      <c r="G107" s="10">
        <v>5693</v>
      </c>
      <c r="H107" s="8">
        <v>689546693</v>
      </c>
      <c r="I107" s="9" t="s">
        <v>217</v>
      </c>
      <c r="J107" s="8">
        <v>75789</v>
      </c>
      <c r="K107" s="9" t="s">
        <v>218</v>
      </c>
      <c r="L107" s="9" t="s">
        <v>219</v>
      </c>
      <c r="M107" s="8">
        <v>3</v>
      </c>
      <c r="N107" s="9" t="s">
        <v>27</v>
      </c>
    </row>
    <row r="108" spans="1:14" x14ac:dyDescent="0.3">
      <c r="A108" s="8">
        <v>993</v>
      </c>
      <c r="B108" s="9" t="s">
        <v>220</v>
      </c>
      <c r="C108" s="9" t="s">
        <v>221</v>
      </c>
      <c r="D108" s="9" t="s">
        <v>22</v>
      </c>
      <c r="E108" s="9" t="s">
        <v>70</v>
      </c>
      <c r="F108" s="7">
        <v>43003</v>
      </c>
      <c r="G108" s="10">
        <v>3939</v>
      </c>
      <c r="H108" s="8">
        <v>636593039</v>
      </c>
      <c r="I108" s="9" t="s">
        <v>222</v>
      </c>
      <c r="J108" s="8">
        <v>78174</v>
      </c>
      <c r="K108" s="9" t="s">
        <v>208</v>
      </c>
      <c r="L108" s="9" t="s">
        <v>223</v>
      </c>
      <c r="M108" s="8">
        <v>2</v>
      </c>
      <c r="N108" s="9" t="s">
        <v>96</v>
      </c>
    </row>
    <row r="109" spans="1:14" x14ac:dyDescent="0.3">
      <c r="A109" s="8">
        <v>994</v>
      </c>
      <c r="B109" s="9" t="s">
        <v>224</v>
      </c>
      <c r="C109" s="9" t="s">
        <v>225</v>
      </c>
      <c r="D109" s="9" t="s">
        <v>22</v>
      </c>
      <c r="E109" s="9" t="s">
        <v>30</v>
      </c>
      <c r="F109" s="7">
        <v>41312</v>
      </c>
      <c r="G109" s="10">
        <v>5622</v>
      </c>
      <c r="H109" s="8">
        <v>625486718</v>
      </c>
      <c r="I109" s="9" t="s">
        <v>226</v>
      </c>
      <c r="J109" s="8">
        <v>94548</v>
      </c>
      <c r="K109" s="9" t="s">
        <v>52</v>
      </c>
      <c r="L109" s="9" t="s">
        <v>227</v>
      </c>
      <c r="M109" s="8">
        <v>1</v>
      </c>
      <c r="N109" s="9" t="s">
        <v>200</v>
      </c>
    </row>
    <row r="110" spans="1:14" x14ac:dyDescent="0.3">
      <c r="A110" s="8">
        <v>995</v>
      </c>
      <c r="B110" s="9" t="s">
        <v>228</v>
      </c>
      <c r="C110" s="9" t="s">
        <v>229</v>
      </c>
      <c r="D110" s="9" t="s">
        <v>22</v>
      </c>
      <c r="E110" s="9" t="s">
        <v>30</v>
      </c>
      <c r="F110" s="7">
        <v>43172</v>
      </c>
      <c r="G110" s="10">
        <v>6995</v>
      </c>
      <c r="H110" s="8">
        <v>630266334</v>
      </c>
      <c r="I110" s="9" t="s">
        <v>230</v>
      </c>
      <c r="J110" s="8">
        <v>75383</v>
      </c>
      <c r="K110" s="9" t="s">
        <v>114</v>
      </c>
      <c r="L110" s="9" t="s">
        <v>231</v>
      </c>
      <c r="M110" s="8">
        <v>1</v>
      </c>
      <c r="N110" s="9" t="s">
        <v>34</v>
      </c>
    </row>
    <row r="111" spans="1:14" x14ac:dyDescent="0.3">
      <c r="A111" s="8">
        <v>996</v>
      </c>
      <c r="B111" s="9" t="s">
        <v>232</v>
      </c>
      <c r="C111" s="9" t="s">
        <v>233</v>
      </c>
      <c r="D111" s="9" t="s">
        <v>22</v>
      </c>
      <c r="E111" s="9" t="s">
        <v>23</v>
      </c>
      <c r="F111" s="7">
        <v>40438</v>
      </c>
      <c r="G111" s="10">
        <v>7763</v>
      </c>
      <c r="H111" s="8">
        <v>611997739</v>
      </c>
      <c r="I111" s="9" t="s">
        <v>234</v>
      </c>
      <c r="J111" s="8">
        <v>78549</v>
      </c>
      <c r="K111" s="9" t="s">
        <v>168</v>
      </c>
      <c r="L111" s="9" t="s">
        <v>235</v>
      </c>
      <c r="M111" s="8">
        <v>1</v>
      </c>
      <c r="N111" s="9" t="s">
        <v>236</v>
      </c>
    </row>
    <row r="112" spans="1:14" x14ac:dyDescent="0.3">
      <c r="A112" s="8">
        <v>997</v>
      </c>
      <c r="B112" s="9" t="s">
        <v>237</v>
      </c>
      <c r="C112" s="9" t="s">
        <v>238</v>
      </c>
      <c r="D112" s="9" t="s">
        <v>22</v>
      </c>
      <c r="E112" s="9" t="s">
        <v>63</v>
      </c>
      <c r="F112" s="7">
        <v>40548</v>
      </c>
      <c r="G112" s="10">
        <v>2244</v>
      </c>
      <c r="H112" s="8">
        <v>644791550</v>
      </c>
      <c r="I112" s="9" t="s">
        <v>239</v>
      </c>
      <c r="J112" s="8">
        <v>75458</v>
      </c>
      <c r="K112" s="9" t="s">
        <v>162</v>
      </c>
      <c r="L112" s="9" t="s">
        <v>240</v>
      </c>
      <c r="M112" s="8">
        <v>1</v>
      </c>
      <c r="N112" s="9" t="s">
        <v>241</v>
      </c>
    </row>
    <row r="113" spans="1:14" x14ac:dyDescent="0.3">
      <c r="A113" s="8">
        <v>998</v>
      </c>
      <c r="B113" s="9" t="s">
        <v>242</v>
      </c>
      <c r="C113" s="9" t="s">
        <v>243</v>
      </c>
      <c r="D113" s="9" t="s">
        <v>22</v>
      </c>
      <c r="E113" s="9" t="s">
        <v>37</v>
      </c>
      <c r="F113" s="7">
        <v>43067</v>
      </c>
      <c r="G113" s="10">
        <v>7158</v>
      </c>
      <c r="H113" s="8">
        <v>611409110</v>
      </c>
      <c r="I113" s="9" t="s">
        <v>244</v>
      </c>
      <c r="J113" s="8">
        <v>75897</v>
      </c>
      <c r="K113" s="9" t="s">
        <v>46</v>
      </c>
      <c r="L113" s="9" t="s">
        <v>245</v>
      </c>
      <c r="M113" s="8">
        <v>1</v>
      </c>
      <c r="N113" s="9" t="s">
        <v>101</v>
      </c>
    </row>
    <row r="114" spans="1:14" x14ac:dyDescent="0.3">
      <c r="A114" s="8">
        <v>999</v>
      </c>
      <c r="B114" s="9" t="s">
        <v>246</v>
      </c>
      <c r="C114" s="9" t="s">
        <v>247</v>
      </c>
      <c r="D114" s="9" t="s">
        <v>22</v>
      </c>
      <c r="E114" s="9" t="s">
        <v>56</v>
      </c>
      <c r="F114" s="7">
        <v>43426</v>
      </c>
      <c r="G114" s="10">
        <v>2721</v>
      </c>
      <c r="H114" s="8">
        <v>694890165</v>
      </c>
      <c r="I114" s="9" t="s">
        <v>248</v>
      </c>
      <c r="J114" s="8">
        <v>91380</v>
      </c>
      <c r="K114" s="9" t="s">
        <v>213</v>
      </c>
      <c r="L114" s="9" t="s">
        <v>249</v>
      </c>
      <c r="M114" s="8">
        <v>2</v>
      </c>
      <c r="N114" s="9" t="s">
        <v>79</v>
      </c>
    </row>
    <row r="115" spans="1:14" x14ac:dyDescent="0.3">
      <c r="A115" s="8">
        <v>1001</v>
      </c>
      <c r="B115" s="9" t="s">
        <v>254</v>
      </c>
      <c r="C115" s="9" t="s">
        <v>255</v>
      </c>
      <c r="D115" s="9" t="s">
        <v>22</v>
      </c>
      <c r="E115" s="9" t="s">
        <v>44</v>
      </c>
      <c r="F115" s="7">
        <v>42986</v>
      </c>
      <c r="G115" s="10">
        <v>4489</v>
      </c>
      <c r="H115" s="8">
        <v>686256935</v>
      </c>
      <c r="I115" s="9" t="s">
        <v>256</v>
      </c>
      <c r="J115" s="8">
        <v>92605</v>
      </c>
      <c r="K115" s="9" t="s">
        <v>257</v>
      </c>
      <c r="L115" s="9" t="s">
        <v>258</v>
      </c>
      <c r="M115" s="8">
        <v>2</v>
      </c>
      <c r="N115" s="9" t="s">
        <v>48</v>
      </c>
    </row>
    <row r="116" spans="1:14" x14ac:dyDescent="0.3">
      <c r="A116" s="8">
        <v>1002</v>
      </c>
      <c r="B116" s="9" t="s">
        <v>259</v>
      </c>
      <c r="C116" s="9" t="s">
        <v>260</v>
      </c>
      <c r="D116" s="9" t="s">
        <v>22</v>
      </c>
      <c r="E116" s="9" t="s">
        <v>30</v>
      </c>
      <c r="F116" s="7">
        <v>42605</v>
      </c>
      <c r="G116" s="10">
        <v>1522</v>
      </c>
      <c r="H116" s="8">
        <v>631483356</v>
      </c>
      <c r="I116" s="9" t="s">
        <v>261</v>
      </c>
      <c r="J116" s="8">
        <v>95851</v>
      </c>
      <c r="K116" s="9" t="s">
        <v>129</v>
      </c>
      <c r="L116" s="9" t="s">
        <v>262</v>
      </c>
      <c r="M116" s="8">
        <v>2</v>
      </c>
      <c r="N116" s="9" t="s">
        <v>150</v>
      </c>
    </row>
    <row r="117" spans="1:14" x14ac:dyDescent="0.3">
      <c r="A117" s="8">
        <v>1003</v>
      </c>
      <c r="B117" s="9" t="s">
        <v>263</v>
      </c>
      <c r="C117" s="9" t="s">
        <v>264</v>
      </c>
      <c r="D117" s="9" t="s">
        <v>22</v>
      </c>
      <c r="E117" s="9" t="s">
        <v>37</v>
      </c>
      <c r="F117" s="7">
        <v>42760</v>
      </c>
      <c r="G117" s="10">
        <v>2937</v>
      </c>
      <c r="H117" s="8">
        <v>613142373</v>
      </c>
      <c r="I117" s="9" t="s">
        <v>265</v>
      </c>
      <c r="J117" s="8">
        <v>91690</v>
      </c>
      <c r="K117" s="9" t="s">
        <v>257</v>
      </c>
      <c r="L117" s="9" t="s">
        <v>266</v>
      </c>
      <c r="M117" s="8">
        <v>2</v>
      </c>
      <c r="N117" s="9" t="s">
        <v>27</v>
      </c>
    </row>
    <row r="118" spans="1:14" x14ac:dyDescent="0.3">
      <c r="A118" s="8">
        <v>1004</v>
      </c>
      <c r="B118" s="9" t="s">
        <v>39</v>
      </c>
      <c r="C118" s="9" t="s">
        <v>267</v>
      </c>
      <c r="D118" s="9" t="s">
        <v>22</v>
      </c>
      <c r="E118" s="9" t="s">
        <v>37</v>
      </c>
      <c r="F118" s="7">
        <v>41278</v>
      </c>
      <c r="G118" s="10">
        <v>7152</v>
      </c>
      <c r="H118" s="8">
        <v>670559227</v>
      </c>
      <c r="I118" s="9" t="s">
        <v>268</v>
      </c>
      <c r="J118" s="8">
        <v>78283</v>
      </c>
      <c r="K118" s="9" t="s">
        <v>269</v>
      </c>
      <c r="L118" s="9" t="s">
        <v>270</v>
      </c>
      <c r="M118" s="8">
        <v>2</v>
      </c>
      <c r="N118" s="9" t="s">
        <v>27</v>
      </c>
    </row>
    <row r="119" spans="1:14" x14ac:dyDescent="0.3">
      <c r="A119" s="8">
        <v>1005</v>
      </c>
      <c r="B119" s="9" t="s">
        <v>271</v>
      </c>
      <c r="C119" s="9" t="s">
        <v>272</v>
      </c>
      <c r="D119" s="9" t="s">
        <v>22</v>
      </c>
      <c r="E119" s="9" t="s">
        <v>138</v>
      </c>
      <c r="F119" s="7">
        <v>40281</v>
      </c>
      <c r="G119" s="10">
        <v>3061</v>
      </c>
      <c r="H119" s="8">
        <v>642808691</v>
      </c>
      <c r="I119" s="9" t="s">
        <v>273</v>
      </c>
      <c r="J119" s="8">
        <v>95917</v>
      </c>
      <c r="K119" s="9" t="s">
        <v>274</v>
      </c>
      <c r="L119" s="9" t="s">
        <v>275</v>
      </c>
      <c r="M119" s="8">
        <v>3</v>
      </c>
      <c r="N119" s="9" t="s">
        <v>27</v>
      </c>
    </row>
    <row r="120" spans="1:14" x14ac:dyDescent="0.3">
      <c r="A120" s="8">
        <v>1006</v>
      </c>
      <c r="B120" s="9" t="s">
        <v>276</v>
      </c>
      <c r="C120" s="9" t="s">
        <v>277</v>
      </c>
      <c r="D120" s="9" t="s">
        <v>22</v>
      </c>
      <c r="E120" s="9" t="s">
        <v>63</v>
      </c>
      <c r="F120" s="7">
        <v>42036</v>
      </c>
      <c r="G120" s="10">
        <v>1414</v>
      </c>
      <c r="H120" s="8">
        <v>632523148</v>
      </c>
      <c r="I120" s="9" t="s">
        <v>278</v>
      </c>
      <c r="J120" s="8">
        <v>78478</v>
      </c>
      <c r="K120" s="9" t="s">
        <v>77</v>
      </c>
      <c r="L120" s="9" t="s">
        <v>279</v>
      </c>
      <c r="M120" s="8">
        <v>1</v>
      </c>
      <c r="N120" s="9" t="s">
        <v>34</v>
      </c>
    </row>
    <row r="121" spans="1:14" x14ac:dyDescent="0.3">
      <c r="A121" s="8">
        <v>1007</v>
      </c>
      <c r="B121" s="9" t="s">
        <v>280</v>
      </c>
      <c r="C121" s="9" t="s">
        <v>281</v>
      </c>
      <c r="D121" s="9" t="s">
        <v>22</v>
      </c>
      <c r="E121" s="9" t="s">
        <v>63</v>
      </c>
      <c r="F121" s="7">
        <v>40271</v>
      </c>
      <c r="G121" s="10">
        <v>5561</v>
      </c>
      <c r="H121" s="8">
        <v>633103487</v>
      </c>
      <c r="I121" s="9" t="s">
        <v>282</v>
      </c>
      <c r="J121" s="8">
        <v>93322</v>
      </c>
      <c r="K121" s="9" t="s">
        <v>25</v>
      </c>
      <c r="L121" s="9" t="s">
        <v>283</v>
      </c>
      <c r="M121" s="8">
        <v>1</v>
      </c>
      <c r="N121" s="9" t="s">
        <v>284</v>
      </c>
    </row>
    <row r="122" spans="1:14" x14ac:dyDescent="0.3">
      <c r="A122" s="8">
        <v>1008</v>
      </c>
      <c r="B122" s="9" t="s">
        <v>285</v>
      </c>
      <c r="C122" s="9" t="s">
        <v>286</v>
      </c>
      <c r="D122" s="9" t="s">
        <v>22</v>
      </c>
      <c r="E122" s="9" t="s">
        <v>23</v>
      </c>
      <c r="F122" s="7">
        <v>43709</v>
      </c>
      <c r="G122" s="10">
        <v>1634</v>
      </c>
      <c r="H122" s="8">
        <v>643966911</v>
      </c>
      <c r="I122" s="9" t="s">
        <v>287</v>
      </c>
      <c r="J122" s="8">
        <v>78772</v>
      </c>
      <c r="K122" s="9" t="s">
        <v>288</v>
      </c>
      <c r="L122" s="9" t="s">
        <v>289</v>
      </c>
      <c r="M122" s="8">
        <v>3</v>
      </c>
      <c r="N122" s="9" t="s">
        <v>145</v>
      </c>
    </row>
    <row r="123" spans="1:14" x14ac:dyDescent="0.3">
      <c r="A123" s="8">
        <v>1009</v>
      </c>
      <c r="B123" s="9" t="s">
        <v>290</v>
      </c>
      <c r="C123" s="9" t="s">
        <v>291</v>
      </c>
      <c r="D123" s="9" t="s">
        <v>22</v>
      </c>
      <c r="E123" s="9" t="s">
        <v>87</v>
      </c>
      <c r="F123" s="7">
        <v>42657</v>
      </c>
      <c r="G123" s="10">
        <v>6057</v>
      </c>
      <c r="H123" s="8">
        <v>697519998</v>
      </c>
      <c r="I123" s="9" t="s">
        <v>292</v>
      </c>
      <c r="J123" s="8">
        <v>94772</v>
      </c>
      <c r="K123" s="9" t="s">
        <v>208</v>
      </c>
      <c r="L123" s="9" t="s">
        <v>293</v>
      </c>
      <c r="M123" s="8">
        <v>3</v>
      </c>
      <c r="N123" s="9" t="s">
        <v>145</v>
      </c>
    </row>
    <row r="124" spans="1:14" x14ac:dyDescent="0.3">
      <c r="A124" s="8">
        <v>1010</v>
      </c>
      <c r="B124" s="9" t="s">
        <v>294</v>
      </c>
      <c r="C124" s="9" t="s">
        <v>295</v>
      </c>
      <c r="D124" s="9" t="s">
        <v>22</v>
      </c>
      <c r="E124" s="9" t="s">
        <v>44</v>
      </c>
      <c r="F124" s="7">
        <v>42258</v>
      </c>
      <c r="G124" s="10">
        <v>6934</v>
      </c>
      <c r="H124" s="8">
        <v>688380298</v>
      </c>
      <c r="I124" s="9" t="s">
        <v>296</v>
      </c>
      <c r="J124" s="8">
        <v>95212</v>
      </c>
      <c r="K124" s="9" t="s">
        <v>124</v>
      </c>
      <c r="L124" s="9" t="s">
        <v>297</v>
      </c>
      <c r="M124" s="8">
        <v>3</v>
      </c>
      <c r="N124" s="9" t="s">
        <v>164</v>
      </c>
    </row>
    <row r="125" spans="1:14" x14ac:dyDescent="0.3">
      <c r="A125" s="8">
        <v>1011</v>
      </c>
      <c r="B125" s="9" t="s">
        <v>298</v>
      </c>
      <c r="C125" s="9" t="s">
        <v>299</v>
      </c>
      <c r="D125" s="9" t="s">
        <v>22</v>
      </c>
      <c r="E125" s="9" t="s">
        <v>63</v>
      </c>
      <c r="F125" s="7">
        <v>43771</v>
      </c>
      <c r="G125" s="10">
        <v>6113</v>
      </c>
      <c r="H125" s="8">
        <v>696636976</v>
      </c>
      <c r="I125" s="9" t="s">
        <v>300</v>
      </c>
      <c r="J125" s="8">
        <v>93447</v>
      </c>
      <c r="K125" s="9" t="s">
        <v>274</v>
      </c>
      <c r="L125" s="9" t="s">
        <v>301</v>
      </c>
      <c r="M125" s="8">
        <v>2</v>
      </c>
      <c r="N125" s="9" t="s">
        <v>302</v>
      </c>
    </row>
    <row r="126" spans="1:14" x14ac:dyDescent="0.3">
      <c r="A126" s="8">
        <v>1012</v>
      </c>
      <c r="B126" s="9" t="s">
        <v>303</v>
      </c>
      <c r="C126" s="9" t="s">
        <v>304</v>
      </c>
      <c r="D126" s="9" t="s">
        <v>22</v>
      </c>
      <c r="E126" s="9" t="s">
        <v>56</v>
      </c>
      <c r="F126" s="7">
        <v>43452</v>
      </c>
      <c r="G126" s="10">
        <v>2924</v>
      </c>
      <c r="H126" s="8">
        <v>672217486</v>
      </c>
      <c r="I126" s="9" t="s">
        <v>305</v>
      </c>
      <c r="J126" s="8">
        <v>92825</v>
      </c>
      <c r="K126" s="9" t="s">
        <v>39</v>
      </c>
      <c r="L126" s="9" t="s">
        <v>306</v>
      </c>
      <c r="M126" s="8">
        <v>1</v>
      </c>
      <c r="N126" s="9" t="s">
        <v>145</v>
      </c>
    </row>
    <row r="127" spans="1:14" x14ac:dyDescent="0.3">
      <c r="A127" s="8">
        <v>1013</v>
      </c>
      <c r="B127" s="9" t="s">
        <v>307</v>
      </c>
      <c r="C127" s="9" t="s">
        <v>308</v>
      </c>
      <c r="D127" s="9" t="s">
        <v>22</v>
      </c>
      <c r="E127" s="9" t="s">
        <v>44</v>
      </c>
      <c r="F127" s="7">
        <v>44025</v>
      </c>
      <c r="G127" s="10">
        <v>4145</v>
      </c>
      <c r="H127" s="8">
        <v>646173844</v>
      </c>
      <c r="I127" s="9" t="s">
        <v>309</v>
      </c>
      <c r="J127" s="8">
        <v>95295</v>
      </c>
      <c r="K127" s="9" t="s">
        <v>269</v>
      </c>
      <c r="L127" s="9" t="s">
        <v>310</v>
      </c>
      <c r="M127" s="8">
        <v>3</v>
      </c>
      <c r="N127" s="9" t="s">
        <v>48</v>
      </c>
    </row>
    <row r="128" spans="1:14" x14ac:dyDescent="0.3">
      <c r="A128" s="8">
        <v>1014</v>
      </c>
      <c r="B128" s="9" t="s">
        <v>311</v>
      </c>
      <c r="C128" s="9" t="s">
        <v>312</v>
      </c>
      <c r="D128" s="9" t="s">
        <v>22</v>
      </c>
      <c r="E128" s="9" t="s">
        <v>63</v>
      </c>
      <c r="F128" s="7">
        <v>42386</v>
      </c>
      <c r="G128" s="10">
        <v>1983</v>
      </c>
      <c r="H128" s="8">
        <v>652440183</v>
      </c>
      <c r="I128" s="9" t="s">
        <v>313</v>
      </c>
      <c r="J128" s="8">
        <v>93571</v>
      </c>
      <c r="K128" s="9" t="s">
        <v>168</v>
      </c>
      <c r="L128" s="9" t="s">
        <v>314</v>
      </c>
      <c r="M128" s="8">
        <v>1</v>
      </c>
      <c r="N128" s="9" t="s">
        <v>91</v>
      </c>
    </row>
    <row r="129" spans="1:14" x14ac:dyDescent="0.3">
      <c r="A129" s="8">
        <v>1015</v>
      </c>
      <c r="B129" s="9" t="s">
        <v>315</v>
      </c>
      <c r="C129" s="9" t="s">
        <v>316</v>
      </c>
      <c r="D129" s="9" t="s">
        <v>22</v>
      </c>
      <c r="E129" s="9" t="s">
        <v>56</v>
      </c>
      <c r="F129" s="7">
        <v>43660</v>
      </c>
      <c r="G129" s="10">
        <v>5241</v>
      </c>
      <c r="H129" s="8">
        <v>681009888</v>
      </c>
      <c r="I129" s="9" t="s">
        <v>317</v>
      </c>
      <c r="J129" s="8">
        <v>93788</v>
      </c>
      <c r="K129" s="9" t="s">
        <v>124</v>
      </c>
      <c r="L129" s="9" t="s">
        <v>318</v>
      </c>
      <c r="M129" s="8">
        <v>1</v>
      </c>
      <c r="N129" s="9" t="s">
        <v>145</v>
      </c>
    </row>
    <row r="130" spans="1:14" x14ac:dyDescent="0.3">
      <c r="A130" s="8">
        <v>1016</v>
      </c>
      <c r="B130" s="9" t="s">
        <v>319</v>
      </c>
      <c r="C130" s="9" t="s">
        <v>320</v>
      </c>
      <c r="D130" s="9" t="s">
        <v>22</v>
      </c>
      <c r="E130" s="9" t="s">
        <v>23</v>
      </c>
      <c r="F130" s="7">
        <v>41396</v>
      </c>
      <c r="G130" s="10">
        <v>2930</v>
      </c>
      <c r="H130" s="8">
        <v>655874853</v>
      </c>
      <c r="I130" s="9" t="s">
        <v>321</v>
      </c>
      <c r="J130" s="8">
        <v>75356</v>
      </c>
      <c r="K130" s="9" t="s">
        <v>208</v>
      </c>
      <c r="L130" s="9" t="s">
        <v>322</v>
      </c>
      <c r="M130" s="8">
        <v>3</v>
      </c>
      <c r="N130" s="9" t="s">
        <v>323</v>
      </c>
    </row>
    <row r="131" spans="1:14" x14ac:dyDescent="0.3">
      <c r="A131" s="8">
        <v>1017</v>
      </c>
      <c r="B131" s="9" t="s">
        <v>324</v>
      </c>
      <c r="C131" s="9" t="s">
        <v>325</v>
      </c>
      <c r="D131" s="9" t="s">
        <v>22</v>
      </c>
      <c r="E131" s="9" t="s">
        <v>23</v>
      </c>
      <c r="F131" s="7">
        <v>41378</v>
      </c>
      <c r="G131" s="10">
        <v>4347</v>
      </c>
      <c r="H131" s="8">
        <v>630994019</v>
      </c>
      <c r="I131" s="9" t="s">
        <v>326</v>
      </c>
      <c r="J131" s="8">
        <v>91228</v>
      </c>
      <c r="K131" s="9" t="s">
        <v>25</v>
      </c>
      <c r="L131" s="9" t="s">
        <v>327</v>
      </c>
      <c r="M131" s="8">
        <v>1</v>
      </c>
      <c r="N131" s="9" t="s">
        <v>328</v>
      </c>
    </row>
    <row r="132" spans="1:14" x14ac:dyDescent="0.3">
      <c r="A132" s="8">
        <v>1018</v>
      </c>
      <c r="B132" s="9" t="s">
        <v>329</v>
      </c>
      <c r="C132" s="9" t="s">
        <v>330</v>
      </c>
      <c r="D132" s="9" t="s">
        <v>22</v>
      </c>
      <c r="E132" s="9" t="s">
        <v>37</v>
      </c>
      <c r="F132" s="7">
        <v>41347</v>
      </c>
      <c r="G132" s="10">
        <v>4295</v>
      </c>
      <c r="H132" s="8">
        <v>636784971</v>
      </c>
      <c r="I132" s="9" t="s">
        <v>331</v>
      </c>
      <c r="J132" s="8">
        <v>93724</v>
      </c>
      <c r="K132" s="9" t="s">
        <v>194</v>
      </c>
      <c r="L132" s="9" t="s">
        <v>332</v>
      </c>
      <c r="M132" s="8">
        <v>1</v>
      </c>
      <c r="N132" s="9" t="s">
        <v>27</v>
      </c>
    </row>
    <row r="133" spans="1:14" x14ac:dyDescent="0.3">
      <c r="A133" s="8">
        <v>1019</v>
      </c>
      <c r="B133" s="9" t="s">
        <v>333</v>
      </c>
      <c r="C133" s="9" t="s">
        <v>334</v>
      </c>
      <c r="D133" s="9" t="s">
        <v>22</v>
      </c>
      <c r="E133" s="9" t="s">
        <v>70</v>
      </c>
      <c r="F133" s="7">
        <v>42911</v>
      </c>
      <c r="G133" s="10">
        <v>3824</v>
      </c>
      <c r="H133" s="8">
        <v>678494146</v>
      </c>
      <c r="I133" s="9" t="s">
        <v>335</v>
      </c>
      <c r="J133" s="8">
        <v>94730</v>
      </c>
      <c r="K133" s="9" t="s">
        <v>124</v>
      </c>
      <c r="L133" s="9" t="s">
        <v>336</v>
      </c>
      <c r="M133" s="8">
        <v>2</v>
      </c>
      <c r="N133" s="9" t="s">
        <v>284</v>
      </c>
    </row>
    <row r="134" spans="1:14" x14ac:dyDescent="0.3">
      <c r="A134" s="8">
        <v>1020</v>
      </c>
      <c r="B134" s="9" t="s">
        <v>337</v>
      </c>
      <c r="C134" s="9" t="s">
        <v>338</v>
      </c>
      <c r="D134" s="9" t="s">
        <v>22</v>
      </c>
      <c r="E134" s="9" t="s">
        <v>138</v>
      </c>
      <c r="F134" s="7">
        <v>41221</v>
      </c>
      <c r="G134" s="10">
        <v>3161</v>
      </c>
      <c r="H134" s="8">
        <v>695670359</v>
      </c>
      <c r="I134" s="9" t="s">
        <v>339</v>
      </c>
      <c r="J134" s="8">
        <v>94262</v>
      </c>
      <c r="K134" s="9" t="s">
        <v>340</v>
      </c>
      <c r="L134" s="9" t="s">
        <v>341</v>
      </c>
      <c r="M134" s="8">
        <v>2</v>
      </c>
      <c r="N134" s="9" t="s">
        <v>101</v>
      </c>
    </row>
    <row r="135" spans="1:14" x14ac:dyDescent="0.3">
      <c r="A135" s="8">
        <v>1021</v>
      </c>
      <c r="B135" s="9" t="s">
        <v>342</v>
      </c>
      <c r="C135" s="9" t="s">
        <v>343</v>
      </c>
      <c r="D135" s="9" t="s">
        <v>22</v>
      </c>
      <c r="E135" s="9" t="s">
        <v>138</v>
      </c>
      <c r="F135" s="7">
        <v>40247</v>
      </c>
      <c r="G135" s="10">
        <v>3290</v>
      </c>
      <c r="H135" s="8">
        <v>620653977</v>
      </c>
      <c r="I135" s="9" t="s">
        <v>344</v>
      </c>
      <c r="J135" s="8">
        <v>91967</v>
      </c>
      <c r="K135" s="9" t="s">
        <v>109</v>
      </c>
      <c r="L135" s="9" t="s">
        <v>345</v>
      </c>
      <c r="M135" s="8">
        <v>1</v>
      </c>
      <c r="N135" s="9" t="s">
        <v>101</v>
      </c>
    </row>
    <row r="136" spans="1:14" x14ac:dyDescent="0.3">
      <c r="A136" s="8">
        <v>1022</v>
      </c>
      <c r="B136" s="9" t="s">
        <v>346</v>
      </c>
      <c r="C136" s="9" t="s">
        <v>347</v>
      </c>
      <c r="D136" s="9" t="s">
        <v>22</v>
      </c>
      <c r="E136" s="9" t="s">
        <v>138</v>
      </c>
      <c r="F136" s="7">
        <v>40254</v>
      </c>
      <c r="G136" s="10">
        <v>5169</v>
      </c>
      <c r="H136" s="8">
        <v>630076900</v>
      </c>
      <c r="I136" s="9" t="s">
        <v>348</v>
      </c>
      <c r="J136" s="8">
        <v>75446</v>
      </c>
      <c r="K136" s="9" t="s">
        <v>52</v>
      </c>
      <c r="L136" s="9" t="s">
        <v>349</v>
      </c>
      <c r="M136" s="8">
        <v>1</v>
      </c>
      <c r="N136" s="9" t="s">
        <v>41</v>
      </c>
    </row>
    <row r="137" spans="1:14" x14ac:dyDescent="0.3">
      <c r="A137" s="8">
        <v>1023</v>
      </c>
      <c r="B137" s="9" t="s">
        <v>350</v>
      </c>
      <c r="C137" s="9" t="s">
        <v>351</v>
      </c>
      <c r="D137" s="9" t="s">
        <v>22</v>
      </c>
      <c r="E137" s="9" t="s">
        <v>87</v>
      </c>
      <c r="F137" s="7">
        <v>40562</v>
      </c>
      <c r="G137" s="10">
        <v>7765</v>
      </c>
      <c r="H137" s="8">
        <v>665473457</v>
      </c>
      <c r="I137" s="9" t="s">
        <v>352</v>
      </c>
      <c r="J137" s="8">
        <v>92579</v>
      </c>
      <c r="K137" s="9" t="s">
        <v>257</v>
      </c>
      <c r="L137" s="9" t="s">
        <v>353</v>
      </c>
      <c r="M137" s="8">
        <v>3</v>
      </c>
      <c r="N137" s="9" t="s">
        <v>354</v>
      </c>
    </row>
    <row r="138" spans="1:14" x14ac:dyDescent="0.3">
      <c r="A138" s="8">
        <v>1024</v>
      </c>
      <c r="B138" s="9" t="s">
        <v>355</v>
      </c>
      <c r="C138" s="9" t="s">
        <v>356</v>
      </c>
      <c r="D138" s="9" t="s">
        <v>22</v>
      </c>
      <c r="E138" s="9" t="s">
        <v>70</v>
      </c>
      <c r="F138" s="7">
        <v>41705</v>
      </c>
      <c r="G138" s="10">
        <v>4581</v>
      </c>
      <c r="H138" s="8">
        <v>630238140</v>
      </c>
      <c r="I138" s="9" t="s">
        <v>357</v>
      </c>
      <c r="J138" s="8">
        <v>91724</v>
      </c>
      <c r="K138" s="9" t="s">
        <v>257</v>
      </c>
      <c r="L138" s="9" t="s">
        <v>358</v>
      </c>
      <c r="M138" s="8">
        <v>3</v>
      </c>
      <c r="N138" s="9" t="s">
        <v>96</v>
      </c>
    </row>
    <row r="139" spans="1:14" x14ac:dyDescent="0.3">
      <c r="A139" s="8">
        <v>1025</v>
      </c>
      <c r="B139" s="9" t="s">
        <v>359</v>
      </c>
      <c r="C139" s="9" t="s">
        <v>360</v>
      </c>
      <c r="D139" s="9" t="s">
        <v>22</v>
      </c>
      <c r="E139" s="9" t="s">
        <v>87</v>
      </c>
      <c r="F139" s="7">
        <v>40855</v>
      </c>
      <c r="G139" s="10">
        <v>7077</v>
      </c>
      <c r="H139" s="8">
        <v>670531672</v>
      </c>
      <c r="I139" s="9" t="s">
        <v>361</v>
      </c>
      <c r="J139" s="8">
        <v>95966</v>
      </c>
      <c r="K139" s="9" t="s">
        <v>269</v>
      </c>
      <c r="L139" s="9" t="s">
        <v>362</v>
      </c>
      <c r="M139" s="8">
        <v>2</v>
      </c>
      <c r="N139" s="9" t="s">
        <v>363</v>
      </c>
    </row>
    <row r="140" spans="1:14" x14ac:dyDescent="0.3">
      <c r="A140" s="8">
        <v>1026</v>
      </c>
      <c r="B140" s="9" t="s">
        <v>364</v>
      </c>
      <c r="C140" s="9" t="s">
        <v>365</v>
      </c>
      <c r="D140" s="9" t="s">
        <v>4</v>
      </c>
      <c r="E140" s="9" t="s">
        <v>366</v>
      </c>
      <c r="F140" s="7">
        <v>42290</v>
      </c>
      <c r="G140" s="10">
        <v>2227</v>
      </c>
      <c r="H140" s="8">
        <v>648522392</v>
      </c>
      <c r="I140" s="9" t="s">
        <v>367</v>
      </c>
      <c r="J140" s="8">
        <v>91816</v>
      </c>
      <c r="K140" s="9" t="s">
        <v>368</v>
      </c>
      <c r="L140" s="9" t="s">
        <v>369</v>
      </c>
      <c r="M140" s="8">
        <v>2</v>
      </c>
      <c r="N140" s="9"/>
    </row>
    <row r="141" spans="1:14" x14ac:dyDescent="0.3">
      <c r="A141" s="8">
        <v>1027</v>
      </c>
      <c r="B141" s="9" t="s">
        <v>370</v>
      </c>
      <c r="C141" s="9" t="s">
        <v>371</v>
      </c>
      <c r="D141" s="9" t="s">
        <v>4</v>
      </c>
      <c r="E141" s="9" t="s">
        <v>366</v>
      </c>
      <c r="F141" s="7">
        <v>42358</v>
      </c>
      <c r="G141" s="10">
        <v>2824</v>
      </c>
      <c r="H141" s="8">
        <v>667263256</v>
      </c>
      <c r="I141" s="9" t="s">
        <v>372</v>
      </c>
      <c r="J141" s="8">
        <v>92693</v>
      </c>
      <c r="K141" s="9" t="s">
        <v>39</v>
      </c>
      <c r="L141" s="9" t="s">
        <v>373</v>
      </c>
      <c r="M141" s="8">
        <v>2</v>
      </c>
      <c r="N141" s="9"/>
    </row>
    <row r="142" spans="1:14" x14ac:dyDescent="0.3">
      <c r="A142" s="8">
        <v>1033</v>
      </c>
      <c r="B142" s="9" t="s">
        <v>397</v>
      </c>
      <c r="C142" s="9" t="s">
        <v>398</v>
      </c>
      <c r="D142" s="9" t="s">
        <v>4</v>
      </c>
      <c r="E142" s="9" t="s">
        <v>366</v>
      </c>
      <c r="F142" s="7">
        <v>41526</v>
      </c>
      <c r="G142" s="10">
        <v>7467</v>
      </c>
      <c r="H142" s="8">
        <v>614005761</v>
      </c>
      <c r="I142" s="9" t="s">
        <v>399</v>
      </c>
      <c r="J142" s="8">
        <v>75582</v>
      </c>
      <c r="K142" s="9" t="s">
        <v>208</v>
      </c>
      <c r="L142" s="9" t="s">
        <v>400</v>
      </c>
      <c r="M142" s="8">
        <v>1</v>
      </c>
      <c r="N142" s="9"/>
    </row>
    <row r="143" spans="1:14" x14ac:dyDescent="0.3">
      <c r="A143" s="8">
        <v>1036</v>
      </c>
      <c r="B143" s="9" t="s">
        <v>410</v>
      </c>
      <c r="C143" s="9" t="s">
        <v>411</v>
      </c>
      <c r="D143" s="9" t="s">
        <v>4</v>
      </c>
      <c r="E143" s="9" t="s">
        <v>366</v>
      </c>
      <c r="F143" s="7">
        <v>42837</v>
      </c>
      <c r="G143" s="10">
        <v>1648</v>
      </c>
      <c r="H143" s="8">
        <v>648001708</v>
      </c>
      <c r="I143" s="9" t="s">
        <v>412</v>
      </c>
      <c r="J143" s="8">
        <v>92764</v>
      </c>
      <c r="K143" s="9" t="s">
        <v>32</v>
      </c>
      <c r="L143" s="9" t="s">
        <v>413</v>
      </c>
      <c r="M143" s="8">
        <v>1</v>
      </c>
      <c r="N143" s="9"/>
    </row>
    <row r="144" spans="1:14" x14ac:dyDescent="0.3">
      <c r="A144" s="8">
        <v>1042</v>
      </c>
      <c r="B144" s="9" t="s">
        <v>434</v>
      </c>
      <c r="C144" s="9" t="s">
        <v>435</v>
      </c>
      <c r="D144" s="9" t="s">
        <v>4</v>
      </c>
      <c r="E144" s="9" t="s">
        <v>366</v>
      </c>
      <c r="F144" s="7">
        <v>43516</v>
      </c>
      <c r="G144" s="10">
        <v>5666</v>
      </c>
      <c r="H144" s="8">
        <v>646198999</v>
      </c>
      <c r="I144" s="9" t="s">
        <v>436</v>
      </c>
      <c r="J144" s="8">
        <v>94204</v>
      </c>
      <c r="K144" s="9" t="s">
        <v>114</v>
      </c>
      <c r="L144" s="9" t="s">
        <v>437</v>
      </c>
      <c r="M144" s="8">
        <v>2</v>
      </c>
      <c r="N144" s="9"/>
    </row>
    <row r="145" spans="1:14" x14ac:dyDescent="0.3">
      <c r="A145" s="8">
        <v>1047</v>
      </c>
      <c r="B145" s="9" t="s">
        <v>454</v>
      </c>
      <c r="C145" s="9" t="s">
        <v>455</v>
      </c>
      <c r="D145" s="9" t="s">
        <v>4</v>
      </c>
      <c r="E145" s="9" t="s">
        <v>366</v>
      </c>
      <c r="F145" s="7">
        <v>40560</v>
      </c>
      <c r="G145" s="10">
        <v>5480</v>
      </c>
      <c r="H145" s="8">
        <v>677711185</v>
      </c>
      <c r="I145" s="9" t="s">
        <v>456</v>
      </c>
      <c r="J145" s="8">
        <v>75693</v>
      </c>
      <c r="K145" s="9" t="s">
        <v>32</v>
      </c>
      <c r="L145" s="9" t="s">
        <v>457</v>
      </c>
      <c r="M145" s="8">
        <v>2</v>
      </c>
      <c r="N145" s="9"/>
    </row>
    <row r="146" spans="1:14" x14ac:dyDescent="0.3">
      <c r="A146" s="8">
        <v>1048</v>
      </c>
      <c r="B146" s="9" t="s">
        <v>458</v>
      </c>
      <c r="C146" s="9" t="s">
        <v>459</v>
      </c>
      <c r="D146" s="9" t="s">
        <v>4</v>
      </c>
      <c r="E146" s="9" t="s">
        <v>4</v>
      </c>
      <c r="F146" s="7">
        <v>42273</v>
      </c>
      <c r="G146" s="10">
        <v>4888</v>
      </c>
      <c r="H146" s="8">
        <v>668382897</v>
      </c>
      <c r="I146" s="9" t="s">
        <v>460</v>
      </c>
      <c r="J146" s="8">
        <v>94450</v>
      </c>
      <c r="K146" s="9" t="s">
        <v>274</v>
      </c>
      <c r="L146" s="9" t="s">
        <v>461</v>
      </c>
      <c r="M146" s="8">
        <v>3</v>
      </c>
      <c r="N146" s="9"/>
    </row>
    <row r="147" spans="1:14" x14ac:dyDescent="0.3">
      <c r="A147" s="8">
        <v>1049</v>
      </c>
      <c r="B147" s="9" t="s">
        <v>462</v>
      </c>
      <c r="C147" s="9" t="s">
        <v>463</v>
      </c>
      <c r="D147" s="9" t="s">
        <v>4</v>
      </c>
      <c r="E147" s="9" t="s">
        <v>366</v>
      </c>
      <c r="F147" s="7">
        <v>42168</v>
      </c>
      <c r="G147" s="10">
        <v>4303</v>
      </c>
      <c r="H147" s="8">
        <v>631370532</v>
      </c>
      <c r="I147" s="9" t="s">
        <v>464</v>
      </c>
      <c r="J147" s="8">
        <v>95446</v>
      </c>
      <c r="K147" s="9" t="s">
        <v>194</v>
      </c>
      <c r="L147" s="9" t="s">
        <v>465</v>
      </c>
      <c r="M147" s="8">
        <v>2</v>
      </c>
      <c r="N147" s="9"/>
    </row>
    <row r="148" spans="1:14" x14ac:dyDescent="0.3">
      <c r="A148" s="8">
        <v>1050</v>
      </c>
      <c r="B148" s="9" t="s">
        <v>466</v>
      </c>
      <c r="C148" s="9" t="s">
        <v>467</v>
      </c>
      <c r="D148" s="9" t="s">
        <v>4</v>
      </c>
      <c r="E148" s="9" t="s">
        <v>4</v>
      </c>
      <c r="F148" s="7">
        <v>41173</v>
      </c>
      <c r="G148" s="10">
        <v>6612</v>
      </c>
      <c r="H148" s="8">
        <v>619668455</v>
      </c>
      <c r="I148" s="9" t="s">
        <v>468</v>
      </c>
      <c r="J148" s="8">
        <v>93820</v>
      </c>
      <c r="K148" s="9" t="s">
        <v>194</v>
      </c>
      <c r="L148" s="9" t="s">
        <v>469</v>
      </c>
      <c r="M148" s="8">
        <v>3</v>
      </c>
      <c r="N148" s="9"/>
    </row>
    <row r="149" spans="1:14" x14ac:dyDescent="0.3">
      <c r="A149" s="8">
        <v>1051</v>
      </c>
      <c r="B149" s="9" t="s">
        <v>470</v>
      </c>
      <c r="C149" s="9" t="s">
        <v>471</v>
      </c>
      <c r="D149" s="9" t="s">
        <v>4</v>
      </c>
      <c r="E149" s="9" t="s">
        <v>4</v>
      </c>
      <c r="F149" s="7">
        <v>42682</v>
      </c>
      <c r="G149" s="10">
        <v>5211</v>
      </c>
      <c r="H149" s="8">
        <v>694352511</v>
      </c>
      <c r="I149" s="9" t="s">
        <v>472</v>
      </c>
      <c r="J149" s="8">
        <v>95849</v>
      </c>
      <c r="K149" s="9" t="s">
        <v>162</v>
      </c>
      <c r="L149" s="9" t="s">
        <v>473</v>
      </c>
      <c r="M149" s="8">
        <v>1</v>
      </c>
      <c r="N149" s="9"/>
    </row>
    <row r="150" spans="1:14" x14ac:dyDescent="0.3">
      <c r="A150" s="8">
        <v>1053</v>
      </c>
      <c r="B150" s="9" t="s">
        <v>479</v>
      </c>
      <c r="C150" s="9" t="s">
        <v>480</v>
      </c>
      <c r="D150" s="9" t="s">
        <v>4</v>
      </c>
      <c r="E150" s="9" t="s">
        <v>4</v>
      </c>
      <c r="F150" s="7">
        <v>44170</v>
      </c>
      <c r="G150" s="10">
        <v>6397</v>
      </c>
      <c r="H150" s="8">
        <v>676985964</v>
      </c>
      <c r="I150" s="9" t="s">
        <v>481</v>
      </c>
      <c r="J150" s="8">
        <v>91642</v>
      </c>
      <c r="K150" s="9" t="s">
        <v>32</v>
      </c>
      <c r="L150" s="9" t="s">
        <v>482</v>
      </c>
      <c r="M150" s="8">
        <v>2</v>
      </c>
      <c r="N150" s="9"/>
    </row>
    <row r="151" spans="1:14" x14ac:dyDescent="0.3">
      <c r="A151" s="8">
        <v>1061</v>
      </c>
      <c r="B151" s="9" t="s">
        <v>511</v>
      </c>
      <c r="C151" s="9" t="s">
        <v>512</v>
      </c>
      <c r="D151" s="9" t="s">
        <v>4</v>
      </c>
      <c r="E151" s="9" t="s">
        <v>4</v>
      </c>
      <c r="F151" s="7">
        <v>44100</v>
      </c>
      <c r="G151" s="10">
        <v>2481</v>
      </c>
      <c r="H151" s="8">
        <v>653454964</v>
      </c>
      <c r="I151" s="9" t="s">
        <v>513</v>
      </c>
      <c r="J151" s="8">
        <v>95807</v>
      </c>
      <c r="K151" s="9" t="s">
        <v>340</v>
      </c>
      <c r="L151" s="9" t="s">
        <v>514</v>
      </c>
      <c r="M151" s="8">
        <v>2</v>
      </c>
      <c r="N151" s="9"/>
    </row>
    <row r="152" spans="1:14" x14ac:dyDescent="0.3">
      <c r="A152" s="8">
        <v>1062</v>
      </c>
      <c r="B152" s="9" t="s">
        <v>515</v>
      </c>
      <c r="C152" s="9" t="s">
        <v>516</v>
      </c>
      <c r="D152" s="9" t="s">
        <v>4</v>
      </c>
      <c r="E152" s="9" t="s">
        <v>366</v>
      </c>
      <c r="F152" s="7">
        <v>43216</v>
      </c>
      <c r="G152" s="10">
        <v>5448</v>
      </c>
      <c r="H152" s="8">
        <v>623769320</v>
      </c>
      <c r="I152" s="9" t="s">
        <v>517</v>
      </c>
      <c r="J152" s="8">
        <v>91144</v>
      </c>
      <c r="K152" s="9" t="s">
        <v>288</v>
      </c>
      <c r="L152" s="9" t="s">
        <v>518</v>
      </c>
      <c r="M152" s="8">
        <v>3</v>
      </c>
      <c r="N152" s="9"/>
    </row>
    <row r="153" spans="1:14" x14ac:dyDescent="0.3">
      <c r="A153" s="8">
        <v>1065</v>
      </c>
      <c r="B153" s="9" t="s">
        <v>527</v>
      </c>
      <c r="C153" s="9" t="s">
        <v>528</v>
      </c>
      <c r="D153" s="9" t="s">
        <v>4</v>
      </c>
      <c r="E153" s="9" t="s">
        <v>4</v>
      </c>
      <c r="F153" s="7">
        <v>41967</v>
      </c>
      <c r="G153" s="10">
        <v>3695</v>
      </c>
      <c r="H153" s="8">
        <v>675503070</v>
      </c>
      <c r="I153" s="9" t="s">
        <v>529</v>
      </c>
      <c r="J153" s="8">
        <v>78348</v>
      </c>
      <c r="K153" s="9" t="s">
        <v>274</v>
      </c>
      <c r="L153" s="9" t="s">
        <v>530</v>
      </c>
      <c r="M153" s="8">
        <v>3</v>
      </c>
      <c r="N153" s="9"/>
    </row>
    <row r="154" spans="1:14" x14ac:dyDescent="0.3">
      <c r="A154" s="8">
        <v>1066</v>
      </c>
      <c r="B154" s="9" t="s">
        <v>531</v>
      </c>
      <c r="C154" s="9" t="s">
        <v>532</v>
      </c>
      <c r="D154" s="9" t="s">
        <v>4</v>
      </c>
      <c r="E154" s="9" t="s">
        <v>4</v>
      </c>
      <c r="F154" s="7">
        <v>40326</v>
      </c>
      <c r="G154" s="10">
        <v>5800</v>
      </c>
      <c r="H154" s="8">
        <v>628817118</v>
      </c>
      <c r="I154" s="9" t="s">
        <v>533</v>
      </c>
      <c r="J154" s="8">
        <v>95541</v>
      </c>
      <c r="K154" s="9" t="s">
        <v>340</v>
      </c>
      <c r="L154" s="9" t="s">
        <v>534</v>
      </c>
      <c r="M154" s="8">
        <v>1</v>
      </c>
      <c r="N154" s="9"/>
    </row>
    <row r="155" spans="1:14" x14ac:dyDescent="0.3">
      <c r="A155" s="8">
        <v>1068</v>
      </c>
      <c r="B155" s="9" t="s">
        <v>539</v>
      </c>
      <c r="C155" s="9" t="s">
        <v>540</v>
      </c>
      <c r="D155" s="9" t="s">
        <v>4</v>
      </c>
      <c r="E155" s="9" t="s">
        <v>4</v>
      </c>
      <c r="F155" s="7">
        <v>41762</v>
      </c>
      <c r="G155" s="10">
        <v>7611</v>
      </c>
      <c r="H155" s="8">
        <v>657537749</v>
      </c>
      <c r="I155" s="9" t="s">
        <v>541</v>
      </c>
      <c r="J155" s="8">
        <v>94364</v>
      </c>
      <c r="K155" s="9" t="s">
        <v>218</v>
      </c>
      <c r="L155" s="9" t="s">
        <v>542</v>
      </c>
      <c r="M155" s="8">
        <v>2</v>
      </c>
      <c r="N155" s="9"/>
    </row>
    <row r="156" spans="1:14" x14ac:dyDescent="0.3">
      <c r="A156" s="8">
        <v>1069</v>
      </c>
      <c r="B156" s="9" t="s">
        <v>543</v>
      </c>
      <c r="C156" s="9" t="s">
        <v>544</v>
      </c>
      <c r="D156" s="9" t="s">
        <v>4</v>
      </c>
      <c r="E156" s="9" t="s">
        <v>4</v>
      </c>
      <c r="F156" s="7">
        <v>40364</v>
      </c>
      <c r="G156" s="10">
        <v>2158</v>
      </c>
      <c r="H156" s="8">
        <v>649721641</v>
      </c>
      <c r="I156" s="9" t="s">
        <v>545</v>
      </c>
      <c r="J156" s="8">
        <v>92744</v>
      </c>
      <c r="K156" s="9" t="s">
        <v>162</v>
      </c>
      <c r="L156" s="9" t="s">
        <v>546</v>
      </c>
      <c r="M156" s="8">
        <v>3</v>
      </c>
      <c r="N156" s="9"/>
    </row>
    <row r="157" spans="1:14" x14ac:dyDescent="0.3">
      <c r="A157" s="8">
        <v>1072</v>
      </c>
      <c r="B157" s="9" t="s">
        <v>555</v>
      </c>
      <c r="C157" s="9" t="s">
        <v>556</v>
      </c>
      <c r="D157" s="9" t="s">
        <v>4</v>
      </c>
      <c r="E157" s="9" t="s">
        <v>4</v>
      </c>
      <c r="F157" s="7">
        <v>44181</v>
      </c>
      <c r="G157" s="10">
        <v>2690</v>
      </c>
      <c r="H157" s="8">
        <v>624711950</v>
      </c>
      <c r="I157" s="9" t="s">
        <v>557</v>
      </c>
      <c r="J157" s="8">
        <v>75361</v>
      </c>
      <c r="K157" s="9" t="s">
        <v>83</v>
      </c>
      <c r="L157" s="9" t="s">
        <v>558</v>
      </c>
      <c r="M157" s="8">
        <v>3</v>
      </c>
      <c r="N157" s="9"/>
    </row>
    <row r="158" spans="1:14" x14ac:dyDescent="0.3">
      <c r="A158" s="8">
        <v>1075</v>
      </c>
      <c r="B158" s="9" t="s">
        <v>567</v>
      </c>
      <c r="C158" s="9" t="s">
        <v>568</v>
      </c>
      <c r="D158" s="9" t="s">
        <v>4</v>
      </c>
      <c r="E158" s="9" t="s">
        <v>4</v>
      </c>
      <c r="F158" s="7">
        <v>43262</v>
      </c>
      <c r="G158" s="10">
        <v>3241</v>
      </c>
      <c r="H158" s="8">
        <v>648811036</v>
      </c>
      <c r="I158" s="9" t="s">
        <v>569</v>
      </c>
      <c r="J158" s="8">
        <v>93462</v>
      </c>
      <c r="K158" s="9" t="s">
        <v>32</v>
      </c>
      <c r="L158" s="9" t="s">
        <v>570</v>
      </c>
      <c r="M158" s="8">
        <v>1</v>
      </c>
      <c r="N158" s="9"/>
    </row>
    <row r="159" spans="1:14" x14ac:dyDescent="0.3">
      <c r="A159" s="8">
        <v>1076</v>
      </c>
      <c r="B159" s="9" t="s">
        <v>571</v>
      </c>
      <c r="C159" s="9" t="s">
        <v>572</v>
      </c>
      <c r="D159" s="9" t="s">
        <v>4</v>
      </c>
      <c r="E159" s="9" t="s">
        <v>4</v>
      </c>
      <c r="F159" s="7">
        <v>43803</v>
      </c>
      <c r="G159" s="10">
        <v>6333</v>
      </c>
      <c r="H159" s="8">
        <v>696267405</v>
      </c>
      <c r="I159" s="9" t="s">
        <v>573</v>
      </c>
      <c r="J159" s="8">
        <v>95581</v>
      </c>
      <c r="K159" s="9" t="s">
        <v>46</v>
      </c>
      <c r="L159" s="9" t="s">
        <v>574</v>
      </c>
      <c r="M159" s="8">
        <v>1</v>
      </c>
      <c r="N159" s="9"/>
    </row>
    <row r="160" spans="1:14" x14ac:dyDescent="0.3">
      <c r="A160" s="8">
        <v>1077</v>
      </c>
      <c r="B160" s="9" t="s">
        <v>575</v>
      </c>
      <c r="C160" s="9" t="s">
        <v>576</v>
      </c>
      <c r="D160" s="9" t="s">
        <v>4</v>
      </c>
      <c r="E160" s="9" t="s">
        <v>4</v>
      </c>
      <c r="F160" s="7">
        <v>41702</v>
      </c>
      <c r="G160" s="10">
        <v>2350</v>
      </c>
      <c r="H160" s="8">
        <v>667765122</v>
      </c>
      <c r="I160" s="9" t="s">
        <v>577</v>
      </c>
      <c r="J160" s="8">
        <v>92510</v>
      </c>
      <c r="K160" s="9" t="s">
        <v>77</v>
      </c>
      <c r="L160" s="9" t="s">
        <v>578</v>
      </c>
      <c r="M160" s="8">
        <v>2</v>
      </c>
      <c r="N160" s="9"/>
    </row>
    <row r="161" spans="1:14" x14ac:dyDescent="0.3">
      <c r="A161" s="8">
        <v>1078</v>
      </c>
      <c r="B161" s="9" t="s">
        <v>579</v>
      </c>
      <c r="C161" s="9" t="s">
        <v>580</v>
      </c>
      <c r="D161" s="9" t="s">
        <v>4</v>
      </c>
      <c r="E161" s="9" t="s">
        <v>4</v>
      </c>
      <c r="F161" s="7">
        <v>43453</v>
      </c>
      <c r="G161" s="10">
        <v>2671</v>
      </c>
      <c r="H161" s="8">
        <v>637424349</v>
      </c>
      <c r="I161" s="9" t="s">
        <v>581</v>
      </c>
      <c r="J161" s="8">
        <v>91315</v>
      </c>
      <c r="K161" s="9" t="s">
        <v>582</v>
      </c>
      <c r="L161" s="9" t="s">
        <v>583</v>
      </c>
      <c r="M161" s="8">
        <v>1</v>
      </c>
      <c r="N161" s="9"/>
    </row>
    <row r="162" spans="1:14" x14ac:dyDescent="0.3">
      <c r="A162" s="8">
        <v>1081</v>
      </c>
      <c r="B162" s="9" t="s">
        <v>592</v>
      </c>
      <c r="C162" s="9" t="s">
        <v>593</v>
      </c>
      <c r="D162" s="9" t="s">
        <v>4</v>
      </c>
      <c r="E162" s="9" t="s">
        <v>4</v>
      </c>
      <c r="F162" s="7">
        <v>43090</v>
      </c>
      <c r="G162" s="10">
        <v>7577</v>
      </c>
      <c r="H162" s="8">
        <v>674887464</v>
      </c>
      <c r="I162" s="9" t="s">
        <v>594</v>
      </c>
      <c r="J162" s="8">
        <v>78673</v>
      </c>
      <c r="K162" s="9" t="s">
        <v>218</v>
      </c>
      <c r="L162" s="9" t="s">
        <v>595</v>
      </c>
      <c r="M162" s="8">
        <v>2</v>
      </c>
      <c r="N162" s="9"/>
    </row>
    <row r="163" spans="1:14" x14ac:dyDescent="0.3">
      <c r="A163" s="8">
        <v>1082</v>
      </c>
      <c r="B163" s="9" t="s">
        <v>596</v>
      </c>
      <c r="C163" s="9" t="s">
        <v>597</v>
      </c>
      <c r="D163" s="9" t="s">
        <v>4</v>
      </c>
      <c r="E163" s="9" t="s">
        <v>4</v>
      </c>
      <c r="F163" s="7">
        <v>44181</v>
      </c>
      <c r="G163" s="10">
        <v>5266</v>
      </c>
      <c r="H163" s="8">
        <v>635773977</v>
      </c>
      <c r="I163" s="9" t="s">
        <v>598</v>
      </c>
      <c r="J163" s="8">
        <v>92151</v>
      </c>
      <c r="K163" s="9" t="s">
        <v>124</v>
      </c>
      <c r="L163" s="9" t="s">
        <v>599</v>
      </c>
      <c r="M163" s="8">
        <v>2</v>
      </c>
      <c r="N163" s="9"/>
    </row>
    <row r="164" spans="1:14" x14ac:dyDescent="0.3">
      <c r="A164" s="8">
        <v>1083</v>
      </c>
      <c r="B164" s="9" t="s">
        <v>600</v>
      </c>
      <c r="C164" s="9" t="s">
        <v>601</v>
      </c>
      <c r="D164" s="9" t="s">
        <v>4</v>
      </c>
      <c r="E164" s="9" t="s">
        <v>4</v>
      </c>
      <c r="F164" s="7">
        <v>41214</v>
      </c>
      <c r="G164" s="10">
        <v>6551</v>
      </c>
      <c r="H164" s="8">
        <v>693336332</v>
      </c>
      <c r="I164" s="9" t="s">
        <v>602</v>
      </c>
      <c r="J164" s="8">
        <v>92361</v>
      </c>
      <c r="K164" s="9" t="s">
        <v>368</v>
      </c>
      <c r="L164" s="9" t="s">
        <v>603</v>
      </c>
      <c r="M164" s="8">
        <v>3</v>
      </c>
      <c r="N164" s="9"/>
    </row>
    <row r="165" spans="1:14" x14ac:dyDescent="0.3">
      <c r="A165" s="8">
        <v>1085</v>
      </c>
      <c r="B165" s="9" t="s">
        <v>607</v>
      </c>
      <c r="C165" s="9" t="s">
        <v>608</v>
      </c>
      <c r="D165" s="9" t="s">
        <v>4</v>
      </c>
      <c r="E165" s="9" t="s">
        <v>4</v>
      </c>
      <c r="F165" s="7">
        <v>42392</v>
      </c>
      <c r="G165" s="10">
        <v>5752</v>
      </c>
      <c r="H165" s="8">
        <v>623694002</v>
      </c>
      <c r="I165" s="9" t="s">
        <v>609</v>
      </c>
      <c r="J165" s="8">
        <v>95470</v>
      </c>
      <c r="K165" s="9" t="s">
        <v>189</v>
      </c>
      <c r="L165" s="9" t="s">
        <v>610</v>
      </c>
      <c r="M165" s="8">
        <v>2</v>
      </c>
      <c r="N165" s="9"/>
    </row>
    <row r="166" spans="1:14" x14ac:dyDescent="0.3">
      <c r="A166" s="8">
        <v>1086</v>
      </c>
      <c r="B166" s="9" t="s">
        <v>611</v>
      </c>
      <c r="C166" s="9" t="s">
        <v>612</v>
      </c>
      <c r="D166" s="9" t="s">
        <v>4</v>
      </c>
      <c r="E166" s="9" t="s">
        <v>4</v>
      </c>
      <c r="F166" s="7">
        <v>44098</v>
      </c>
      <c r="G166" s="10">
        <v>2166</v>
      </c>
      <c r="H166" s="8">
        <v>695982978</v>
      </c>
      <c r="I166" s="9" t="s">
        <v>613</v>
      </c>
      <c r="J166" s="8">
        <v>91587</v>
      </c>
      <c r="K166" s="9" t="s">
        <v>194</v>
      </c>
      <c r="L166" s="9" t="s">
        <v>614</v>
      </c>
      <c r="M166" s="8">
        <v>3</v>
      </c>
      <c r="N166" s="9"/>
    </row>
    <row r="167" spans="1:14" x14ac:dyDescent="0.3">
      <c r="A167" s="8">
        <v>1088</v>
      </c>
      <c r="B167" s="9" t="s">
        <v>618</v>
      </c>
      <c r="C167" s="9" t="s">
        <v>619</v>
      </c>
      <c r="D167" s="9" t="s">
        <v>4</v>
      </c>
      <c r="E167" s="9" t="s">
        <v>4</v>
      </c>
      <c r="F167" s="7">
        <v>43263</v>
      </c>
      <c r="G167" s="10">
        <v>5570</v>
      </c>
      <c r="H167" s="8">
        <v>647699301</v>
      </c>
      <c r="I167" s="9" t="s">
        <v>620</v>
      </c>
      <c r="J167" s="8">
        <v>95536</v>
      </c>
      <c r="K167" s="9" t="s">
        <v>39</v>
      </c>
      <c r="L167" s="9" t="s">
        <v>621</v>
      </c>
      <c r="M167" s="8">
        <v>3</v>
      </c>
      <c r="N167" s="9"/>
    </row>
    <row r="168" spans="1:14" x14ac:dyDescent="0.3">
      <c r="A168" s="8">
        <v>1091</v>
      </c>
      <c r="B168" s="9" t="s">
        <v>630</v>
      </c>
      <c r="C168" s="9" t="s">
        <v>631</v>
      </c>
      <c r="D168" s="9" t="s">
        <v>4</v>
      </c>
      <c r="E168" s="9" t="s">
        <v>366</v>
      </c>
      <c r="F168" s="7">
        <v>43925</v>
      </c>
      <c r="G168" s="10">
        <v>7876</v>
      </c>
      <c r="H168" s="8">
        <v>617123116</v>
      </c>
      <c r="I168" s="9" t="s">
        <v>632</v>
      </c>
      <c r="J168" s="8">
        <v>91888</v>
      </c>
      <c r="K168" s="9" t="s">
        <v>89</v>
      </c>
      <c r="L168" s="9" t="s">
        <v>633</v>
      </c>
      <c r="M168" s="8">
        <v>3</v>
      </c>
      <c r="N168" s="9"/>
    </row>
    <row r="169" spans="1:14" x14ac:dyDescent="0.3">
      <c r="A169" s="8">
        <v>1093</v>
      </c>
      <c r="B169" s="9" t="s">
        <v>638</v>
      </c>
      <c r="C169" s="9" t="s">
        <v>639</v>
      </c>
      <c r="D169" s="9" t="s">
        <v>4</v>
      </c>
      <c r="E169" s="9" t="s">
        <v>4</v>
      </c>
      <c r="F169" s="7">
        <v>41355</v>
      </c>
      <c r="G169" s="10">
        <v>3138</v>
      </c>
      <c r="H169" s="8">
        <v>659787308</v>
      </c>
      <c r="I169" s="9" t="s">
        <v>640</v>
      </c>
      <c r="J169" s="8">
        <v>75583</v>
      </c>
      <c r="K169" s="9" t="s">
        <v>58</v>
      </c>
      <c r="L169" s="9" t="s">
        <v>641</v>
      </c>
      <c r="M169" s="8">
        <v>1</v>
      </c>
      <c r="N169" s="9"/>
    </row>
    <row r="170" spans="1:14" x14ac:dyDescent="0.3">
      <c r="A170" s="8">
        <v>1095</v>
      </c>
      <c r="B170" s="9" t="s">
        <v>646</v>
      </c>
      <c r="C170" s="9" t="s">
        <v>647</v>
      </c>
      <c r="D170" s="9" t="s">
        <v>4</v>
      </c>
      <c r="E170" s="9" t="s">
        <v>366</v>
      </c>
      <c r="F170" s="7">
        <v>43089</v>
      </c>
      <c r="G170" s="10">
        <v>7518</v>
      </c>
      <c r="H170" s="8">
        <v>637377753</v>
      </c>
      <c r="I170" s="9" t="s">
        <v>648</v>
      </c>
      <c r="J170" s="8">
        <v>91458</v>
      </c>
      <c r="K170" s="9" t="s">
        <v>65</v>
      </c>
      <c r="L170" s="9" t="s">
        <v>649</v>
      </c>
      <c r="M170" s="8">
        <v>2</v>
      </c>
      <c r="N170" s="9"/>
    </row>
    <row r="171" spans="1:14" x14ac:dyDescent="0.3">
      <c r="A171" s="8">
        <v>1096</v>
      </c>
      <c r="B171" s="9" t="s">
        <v>650</v>
      </c>
      <c r="C171" s="9" t="s">
        <v>651</v>
      </c>
      <c r="D171" s="9" t="s">
        <v>4</v>
      </c>
      <c r="E171" s="9" t="s">
        <v>4</v>
      </c>
      <c r="F171" s="7">
        <v>43209</v>
      </c>
      <c r="G171" s="10">
        <v>4008</v>
      </c>
      <c r="H171" s="8">
        <v>697891559</v>
      </c>
      <c r="I171" s="9" t="s">
        <v>652</v>
      </c>
      <c r="J171" s="8">
        <v>92611</v>
      </c>
      <c r="K171" s="9" t="s">
        <v>124</v>
      </c>
      <c r="L171" s="9" t="s">
        <v>653</v>
      </c>
      <c r="M171" s="8">
        <v>2</v>
      </c>
      <c r="N171" s="9"/>
    </row>
    <row r="172" spans="1:14" x14ac:dyDescent="0.3">
      <c r="A172" s="8">
        <v>1097</v>
      </c>
      <c r="B172" s="9" t="s">
        <v>654</v>
      </c>
      <c r="C172" s="9" t="s">
        <v>655</v>
      </c>
      <c r="D172" s="9" t="s">
        <v>4</v>
      </c>
      <c r="E172" s="9" t="s">
        <v>366</v>
      </c>
      <c r="F172" s="7">
        <v>42494</v>
      </c>
      <c r="G172" s="10">
        <v>2314</v>
      </c>
      <c r="H172" s="8">
        <v>610110205</v>
      </c>
      <c r="I172" s="9" t="s">
        <v>656</v>
      </c>
      <c r="J172" s="8">
        <v>78125</v>
      </c>
      <c r="K172" s="9" t="s">
        <v>274</v>
      </c>
      <c r="L172" s="9" t="s">
        <v>657</v>
      </c>
      <c r="M172" s="8">
        <v>3</v>
      </c>
      <c r="N172" s="9"/>
    </row>
    <row r="173" spans="1:14" x14ac:dyDescent="0.3">
      <c r="A173" s="8">
        <v>1101</v>
      </c>
      <c r="B173" s="9" t="s">
        <v>670</v>
      </c>
      <c r="C173" s="9" t="s">
        <v>671</v>
      </c>
      <c r="D173" s="9" t="s">
        <v>4</v>
      </c>
      <c r="E173" s="9" t="s">
        <v>4</v>
      </c>
      <c r="F173" s="7">
        <v>42356</v>
      </c>
      <c r="G173" s="10">
        <v>5812</v>
      </c>
      <c r="H173" s="8">
        <v>639937776</v>
      </c>
      <c r="I173" s="9" t="s">
        <v>672</v>
      </c>
      <c r="J173" s="8">
        <v>95387</v>
      </c>
      <c r="K173" s="9" t="s">
        <v>58</v>
      </c>
      <c r="L173" s="9" t="s">
        <v>673</v>
      </c>
      <c r="M173" s="8">
        <v>2</v>
      </c>
      <c r="N173" s="9"/>
    </row>
    <row r="174" spans="1:14" x14ac:dyDescent="0.3">
      <c r="A174" s="8">
        <v>1102</v>
      </c>
      <c r="B174" s="9" t="s">
        <v>674</v>
      </c>
      <c r="C174" s="9" t="s">
        <v>675</v>
      </c>
      <c r="D174" s="9" t="s">
        <v>4</v>
      </c>
      <c r="E174" s="9" t="s">
        <v>4</v>
      </c>
      <c r="F174" s="7">
        <v>42931</v>
      </c>
      <c r="G174" s="10">
        <v>2725</v>
      </c>
      <c r="H174" s="8">
        <v>651615968</v>
      </c>
      <c r="I174" s="9" t="s">
        <v>676</v>
      </c>
      <c r="J174" s="8">
        <v>95838</v>
      </c>
      <c r="K174" s="9" t="s">
        <v>46</v>
      </c>
      <c r="L174" s="9" t="s">
        <v>677</v>
      </c>
      <c r="M174" s="8">
        <v>1</v>
      </c>
      <c r="N174" s="9"/>
    </row>
    <row r="175" spans="1:14" x14ac:dyDescent="0.3">
      <c r="A175" s="8">
        <v>1103</v>
      </c>
      <c r="B175" s="9" t="s">
        <v>678</v>
      </c>
      <c r="C175" s="9" t="s">
        <v>679</v>
      </c>
      <c r="D175" s="9" t="s">
        <v>4</v>
      </c>
      <c r="E175" s="9" t="s">
        <v>4</v>
      </c>
      <c r="F175" s="7">
        <v>44066</v>
      </c>
      <c r="G175" s="10">
        <v>2030</v>
      </c>
      <c r="H175" s="8">
        <v>651545074</v>
      </c>
      <c r="I175" s="9" t="s">
        <v>680</v>
      </c>
      <c r="J175" s="8">
        <v>78405</v>
      </c>
      <c r="K175" s="9" t="s">
        <v>368</v>
      </c>
      <c r="L175" s="9" t="s">
        <v>681</v>
      </c>
      <c r="M175" s="8">
        <v>2</v>
      </c>
      <c r="N175" s="9"/>
    </row>
    <row r="176" spans="1:14" x14ac:dyDescent="0.3">
      <c r="A176" s="8">
        <v>1104</v>
      </c>
      <c r="B176" s="9" t="s">
        <v>682</v>
      </c>
      <c r="C176" s="9" t="s">
        <v>683</v>
      </c>
      <c r="D176" s="9" t="s">
        <v>4</v>
      </c>
      <c r="E176" s="9" t="s">
        <v>366</v>
      </c>
      <c r="F176" s="7">
        <v>40768</v>
      </c>
      <c r="G176" s="10">
        <v>1311</v>
      </c>
      <c r="H176" s="8">
        <v>611861386</v>
      </c>
      <c r="I176" s="9" t="s">
        <v>684</v>
      </c>
      <c r="J176" s="8">
        <v>75931</v>
      </c>
      <c r="K176" s="9" t="s">
        <v>257</v>
      </c>
      <c r="L176" s="9" t="s">
        <v>685</v>
      </c>
      <c r="M176" s="8">
        <v>2</v>
      </c>
      <c r="N176" s="9"/>
    </row>
    <row r="177" spans="1:14" x14ac:dyDescent="0.3">
      <c r="A177" s="8">
        <v>1107</v>
      </c>
      <c r="B177" s="9" t="s">
        <v>229</v>
      </c>
      <c r="C177" s="9" t="s">
        <v>694</v>
      </c>
      <c r="D177" s="9" t="s">
        <v>4</v>
      </c>
      <c r="E177" s="9" t="s">
        <v>4</v>
      </c>
      <c r="F177" s="7">
        <v>40993</v>
      </c>
      <c r="G177" s="10">
        <v>6457</v>
      </c>
      <c r="H177" s="8">
        <v>619787714</v>
      </c>
      <c r="I177" s="9" t="s">
        <v>695</v>
      </c>
      <c r="J177" s="8">
        <v>92145</v>
      </c>
      <c r="K177" s="9" t="s">
        <v>162</v>
      </c>
      <c r="L177" s="9" t="s">
        <v>696</v>
      </c>
      <c r="M177" s="8">
        <v>3</v>
      </c>
      <c r="N177" s="9"/>
    </row>
    <row r="178" spans="1:14" x14ac:dyDescent="0.3">
      <c r="A178" s="8">
        <v>1108</v>
      </c>
      <c r="B178" s="9" t="s">
        <v>697</v>
      </c>
      <c r="C178" s="9" t="s">
        <v>698</v>
      </c>
      <c r="D178" s="9" t="s">
        <v>4</v>
      </c>
      <c r="E178" s="9" t="s">
        <v>366</v>
      </c>
      <c r="F178" s="7">
        <v>41176</v>
      </c>
      <c r="G178" s="10">
        <v>2659</v>
      </c>
      <c r="H178" s="8">
        <v>643975224</v>
      </c>
      <c r="I178" s="9" t="s">
        <v>699</v>
      </c>
      <c r="J178" s="8">
        <v>91897</v>
      </c>
      <c r="K178" s="9" t="s">
        <v>52</v>
      </c>
      <c r="L178" s="9" t="s">
        <v>700</v>
      </c>
      <c r="M178" s="8">
        <v>1</v>
      </c>
      <c r="N178" s="9"/>
    </row>
    <row r="179" spans="1:14" x14ac:dyDescent="0.3">
      <c r="A179" s="8">
        <v>1111</v>
      </c>
      <c r="B179" s="9" t="s">
        <v>709</v>
      </c>
      <c r="C179" s="9" t="s">
        <v>710</v>
      </c>
      <c r="D179" s="9" t="s">
        <v>4</v>
      </c>
      <c r="E179" s="9" t="s">
        <v>4</v>
      </c>
      <c r="F179" s="7">
        <v>42533</v>
      </c>
      <c r="G179" s="10">
        <v>5137</v>
      </c>
      <c r="H179" s="8">
        <v>612445039</v>
      </c>
      <c r="I179" s="9" t="s">
        <v>711</v>
      </c>
      <c r="J179" s="8">
        <v>93471</v>
      </c>
      <c r="K179" s="9" t="s">
        <v>189</v>
      </c>
      <c r="L179" s="9" t="s">
        <v>712</v>
      </c>
      <c r="M179" s="8">
        <v>2</v>
      </c>
      <c r="N179" s="9"/>
    </row>
    <row r="180" spans="1:14" x14ac:dyDescent="0.3">
      <c r="A180" s="8">
        <v>1116</v>
      </c>
      <c r="B180" s="9" t="s">
        <v>729</v>
      </c>
      <c r="C180" s="9" t="s">
        <v>730</v>
      </c>
      <c r="D180" s="9" t="s">
        <v>4</v>
      </c>
      <c r="E180" s="9" t="s">
        <v>366</v>
      </c>
      <c r="F180" s="7">
        <v>42334</v>
      </c>
      <c r="G180" s="10">
        <v>2385</v>
      </c>
      <c r="H180" s="8">
        <v>669850534</v>
      </c>
      <c r="I180" s="9" t="s">
        <v>731</v>
      </c>
      <c r="J180" s="8">
        <v>93560</v>
      </c>
      <c r="K180" s="9" t="s">
        <v>77</v>
      </c>
      <c r="L180" s="9" t="s">
        <v>732</v>
      </c>
      <c r="M180" s="8">
        <v>1</v>
      </c>
      <c r="N180" s="9"/>
    </row>
    <row r="181" spans="1:14" x14ac:dyDescent="0.3">
      <c r="A181" s="8">
        <v>1118</v>
      </c>
      <c r="B181" s="9" t="s">
        <v>737</v>
      </c>
      <c r="C181" s="9" t="s">
        <v>738</v>
      </c>
      <c r="D181" s="9" t="s">
        <v>4</v>
      </c>
      <c r="E181" s="9" t="s">
        <v>366</v>
      </c>
      <c r="F181" s="7">
        <v>41039</v>
      </c>
      <c r="G181" s="10">
        <v>1755</v>
      </c>
      <c r="H181" s="8">
        <v>690330153</v>
      </c>
      <c r="I181" s="9" t="s">
        <v>739</v>
      </c>
      <c r="J181" s="8">
        <v>95639</v>
      </c>
      <c r="K181" s="9" t="s">
        <v>257</v>
      </c>
      <c r="L181" s="9" t="s">
        <v>740</v>
      </c>
      <c r="M181" s="8">
        <v>1</v>
      </c>
      <c r="N181" s="9"/>
    </row>
    <row r="182" spans="1:14" x14ac:dyDescent="0.3">
      <c r="A182" s="8">
        <v>1119</v>
      </c>
      <c r="B182" s="9" t="s">
        <v>718</v>
      </c>
      <c r="C182" s="9" t="s">
        <v>741</v>
      </c>
      <c r="D182" s="9" t="s">
        <v>4</v>
      </c>
      <c r="E182" s="9" t="s">
        <v>4</v>
      </c>
      <c r="F182" s="7">
        <v>42018</v>
      </c>
      <c r="G182" s="10">
        <v>7506</v>
      </c>
      <c r="H182" s="8">
        <v>678423908</v>
      </c>
      <c r="I182" s="9" t="s">
        <v>742</v>
      </c>
      <c r="J182" s="8">
        <v>95936</v>
      </c>
      <c r="K182" s="9" t="s">
        <v>114</v>
      </c>
      <c r="L182" s="9" t="s">
        <v>743</v>
      </c>
      <c r="M182" s="8">
        <v>3</v>
      </c>
      <c r="N182" s="9"/>
    </row>
    <row r="183" spans="1:14" x14ac:dyDescent="0.3">
      <c r="A183" s="8">
        <v>1123</v>
      </c>
      <c r="B183" s="9" t="s">
        <v>756</v>
      </c>
      <c r="C183" s="9" t="s">
        <v>757</v>
      </c>
      <c r="D183" s="9" t="s">
        <v>4</v>
      </c>
      <c r="E183" s="9" t="s">
        <v>366</v>
      </c>
      <c r="F183" s="7">
        <v>43597</v>
      </c>
      <c r="G183" s="10">
        <v>2345</v>
      </c>
      <c r="H183" s="8">
        <v>621276346</v>
      </c>
      <c r="I183" s="9" t="s">
        <v>758</v>
      </c>
      <c r="J183" s="8">
        <v>93857</v>
      </c>
      <c r="K183" s="9" t="s">
        <v>129</v>
      </c>
      <c r="L183" s="9" t="s">
        <v>759</v>
      </c>
      <c r="M183" s="8">
        <v>3</v>
      </c>
      <c r="N183" s="9"/>
    </row>
    <row r="184" spans="1:14" x14ac:dyDescent="0.3">
      <c r="A184" s="8">
        <v>1126</v>
      </c>
      <c r="B184" s="9" t="s">
        <v>768</v>
      </c>
      <c r="C184" s="9" t="s">
        <v>769</v>
      </c>
      <c r="D184" s="9" t="s">
        <v>4</v>
      </c>
      <c r="E184" s="9" t="s">
        <v>4</v>
      </c>
      <c r="F184" s="7">
        <v>43786</v>
      </c>
      <c r="G184" s="10">
        <v>2478</v>
      </c>
      <c r="H184" s="8">
        <v>618417348</v>
      </c>
      <c r="I184" s="9" t="s">
        <v>770</v>
      </c>
      <c r="J184" s="8">
        <v>95646</v>
      </c>
      <c r="K184" s="9" t="s">
        <v>168</v>
      </c>
      <c r="L184" s="9" t="s">
        <v>771</v>
      </c>
      <c r="M184" s="8">
        <v>2</v>
      </c>
      <c r="N184" s="9"/>
    </row>
    <row r="185" spans="1:14" x14ac:dyDescent="0.3">
      <c r="A185" s="8">
        <v>1128</v>
      </c>
      <c r="B185" s="9" t="s">
        <v>776</v>
      </c>
      <c r="C185" s="9" t="s">
        <v>777</v>
      </c>
      <c r="D185" s="9" t="s">
        <v>4</v>
      </c>
      <c r="E185" s="9" t="s">
        <v>366</v>
      </c>
      <c r="F185" s="7">
        <v>43355</v>
      </c>
      <c r="G185" s="10">
        <v>7131</v>
      </c>
      <c r="H185" s="8">
        <v>690127576</v>
      </c>
      <c r="I185" s="9" t="s">
        <v>778</v>
      </c>
      <c r="J185" s="8">
        <v>93765</v>
      </c>
      <c r="K185" s="9" t="s">
        <v>39</v>
      </c>
      <c r="L185" s="9" t="s">
        <v>779</v>
      </c>
      <c r="M185" s="8">
        <v>2</v>
      </c>
      <c r="N185" s="9"/>
    </row>
    <row r="186" spans="1:14" x14ac:dyDescent="0.3">
      <c r="A186" s="8">
        <v>1131</v>
      </c>
      <c r="B186" s="9" t="s">
        <v>788</v>
      </c>
      <c r="C186" s="9" t="s">
        <v>789</v>
      </c>
      <c r="D186" s="9" t="s">
        <v>4</v>
      </c>
      <c r="E186" s="9" t="s">
        <v>366</v>
      </c>
      <c r="F186" s="7">
        <v>40540</v>
      </c>
      <c r="G186" s="10">
        <v>4542</v>
      </c>
      <c r="H186" s="8">
        <v>640655191</v>
      </c>
      <c r="I186" s="9" t="s">
        <v>790</v>
      </c>
      <c r="J186" s="8">
        <v>91875</v>
      </c>
      <c r="K186" s="9" t="s">
        <v>162</v>
      </c>
      <c r="L186" s="9" t="s">
        <v>791</v>
      </c>
      <c r="M186" s="8">
        <v>1</v>
      </c>
      <c r="N186" s="9"/>
    </row>
    <row r="187" spans="1:14" x14ac:dyDescent="0.3">
      <c r="A187" s="8">
        <v>1133</v>
      </c>
      <c r="B187" s="9" t="s">
        <v>796</v>
      </c>
      <c r="C187" s="9" t="s">
        <v>797</v>
      </c>
      <c r="D187" s="9" t="s">
        <v>4</v>
      </c>
      <c r="E187" s="9" t="s">
        <v>4</v>
      </c>
      <c r="F187" s="7">
        <v>40601</v>
      </c>
      <c r="G187" s="10">
        <v>4759</v>
      </c>
      <c r="H187" s="8">
        <v>610681954</v>
      </c>
      <c r="I187" s="9" t="s">
        <v>798</v>
      </c>
      <c r="J187" s="8">
        <v>93449</v>
      </c>
      <c r="K187" s="9" t="s">
        <v>89</v>
      </c>
      <c r="L187" s="9" t="s">
        <v>799</v>
      </c>
      <c r="M187" s="8">
        <v>3</v>
      </c>
      <c r="N187" s="9"/>
    </row>
    <row r="188" spans="1:14" x14ac:dyDescent="0.3">
      <c r="A188" s="8">
        <v>1135</v>
      </c>
      <c r="B188" s="9" t="s">
        <v>39</v>
      </c>
      <c r="C188" s="9" t="s">
        <v>804</v>
      </c>
      <c r="D188" s="9" t="s">
        <v>4</v>
      </c>
      <c r="E188" s="9" t="s">
        <v>366</v>
      </c>
      <c r="F188" s="7">
        <v>40593</v>
      </c>
      <c r="G188" s="10">
        <v>1105</v>
      </c>
      <c r="H188" s="8">
        <v>659779933</v>
      </c>
      <c r="I188" s="9" t="s">
        <v>805</v>
      </c>
      <c r="J188" s="8">
        <v>95652</v>
      </c>
      <c r="K188" s="9" t="s">
        <v>340</v>
      </c>
      <c r="L188" s="9" t="s">
        <v>806</v>
      </c>
      <c r="M188" s="8">
        <v>2</v>
      </c>
      <c r="N188" s="9"/>
    </row>
    <row r="189" spans="1:14" x14ac:dyDescent="0.3">
      <c r="A189" s="8">
        <v>1139</v>
      </c>
      <c r="B189" s="9" t="s">
        <v>819</v>
      </c>
      <c r="C189" s="9" t="s">
        <v>820</v>
      </c>
      <c r="D189" s="9" t="s">
        <v>4</v>
      </c>
      <c r="E189" s="9" t="s">
        <v>4</v>
      </c>
      <c r="F189" s="7">
        <v>41696</v>
      </c>
      <c r="G189" s="10">
        <v>7166</v>
      </c>
      <c r="H189" s="8">
        <v>675280040</v>
      </c>
      <c r="I189" s="9" t="s">
        <v>821</v>
      </c>
      <c r="J189" s="8">
        <v>93354</v>
      </c>
      <c r="K189" s="9" t="s">
        <v>109</v>
      </c>
      <c r="L189" s="9" t="s">
        <v>822</v>
      </c>
      <c r="M189" s="8">
        <v>1</v>
      </c>
      <c r="N189" s="9"/>
    </row>
    <row r="190" spans="1:14" x14ac:dyDescent="0.3">
      <c r="A190" s="8">
        <v>1141</v>
      </c>
      <c r="B190" s="9" t="s">
        <v>827</v>
      </c>
      <c r="C190" s="9" t="s">
        <v>828</v>
      </c>
      <c r="D190" s="9" t="s">
        <v>4</v>
      </c>
      <c r="E190" s="9" t="s">
        <v>366</v>
      </c>
      <c r="F190" s="7">
        <v>42954</v>
      </c>
      <c r="G190" s="10">
        <v>6123</v>
      </c>
      <c r="H190" s="8">
        <v>614699522</v>
      </c>
      <c r="I190" s="9" t="s">
        <v>829</v>
      </c>
      <c r="J190" s="8">
        <v>92546</v>
      </c>
      <c r="K190" s="9" t="s">
        <v>77</v>
      </c>
      <c r="L190" s="9" t="s">
        <v>830</v>
      </c>
      <c r="M190" s="8">
        <v>1</v>
      </c>
      <c r="N190" s="9"/>
    </row>
    <row r="191" spans="1:14" x14ac:dyDescent="0.3">
      <c r="A191" s="8">
        <v>1146</v>
      </c>
      <c r="B191" s="9" t="s">
        <v>847</v>
      </c>
      <c r="C191" s="9" t="s">
        <v>848</v>
      </c>
      <c r="D191" s="9" t="s">
        <v>4</v>
      </c>
      <c r="E191" s="9" t="s">
        <v>4</v>
      </c>
      <c r="F191" s="7">
        <v>43892</v>
      </c>
      <c r="G191" s="10">
        <v>4218</v>
      </c>
      <c r="H191" s="8">
        <v>684017618</v>
      </c>
      <c r="I191" s="9" t="s">
        <v>849</v>
      </c>
      <c r="J191" s="8">
        <v>94946</v>
      </c>
      <c r="K191" s="9" t="s">
        <v>269</v>
      </c>
      <c r="L191" s="9" t="s">
        <v>850</v>
      </c>
      <c r="M191" s="8">
        <v>1</v>
      </c>
      <c r="N191" s="9"/>
    </row>
    <row r="192" spans="1:14" x14ac:dyDescent="0.3">
      <c r="A192" s="8">
        <v>1147</v>
      </c>
      <c r="B192" s="9" t="s">
        <v>851</v>
      </c>
      <c r="C192" s="9" t="s">
        <v>852</v>
      </c>
      <c r="D192" s="9" t="s">
        <v>4</v>
      </c>
      <c r="E192" s="9" t="s">
        <v>4</v>
      </c>
      <c r="F192" s="7">
        <v>43792</v>
      </c>
      <c r="G192" s="10">
        <v>2061</v>
      </c>
      <c r="H192" s="8">
        <v>653002150</v>
      </c>
      <c r="I192" s="9" t="s">
        <v>853</v>
      </c>
      <c r="J192" s="8">
        <v>93330</v>
      </c>
      <c r="K192" s="9" t="s">
        <v>39</v>
      </c>
      <c r="L192" s="9" t="s">
        <v>854</v>
      </c>
      <c r="M192" s="8">
        <v>1</v>
      </c>
      <c r="N192" s="9"/>
    </row>
    <row r="193" spans="1:14" x14ac:dyDescent="0.3">
      <c r="A193" s="8">
        <v>1148</v>
      </c>
      <c r="B193" s="9" t="s">
        <v>855</v>
      </c>
      <c r="C193" s="9" t="s">
        <v>856</v>
      </c>
      <c r="D193" s="9" t="s">
        <v>4</v>
      </c>
      <c r="E193" s="9" t="s">
        <v>366</v>
      </c>
      <c r="F193" s="7">
        <v>44112</v>
      </c>
      <c r="G193" s="10">
        <v>3282</v>
      </c>
      <c r="H193" s="8">
        <v>629809732</v>
      </c>
      <c r="I193" s="9" t="s">
        <v>857</v>
      </c>
      <c r="J193" s="8">
        <v>91598</v>
      </c>
      <c r="K193" s="9" t="s">
        <v>288</v>
      </c>
      <c r="L193" s="9" t="s">
        <v>858</v>
      </c>
      <c r="M193" s="8">
        <v>3</v>
      </c>
      <c r="N193" s="9"/>
    </row>
    <row r="194" spans="1:14" x14ac:dyDescent="0.3">
      <c r="A194" s="8">
        <v>1156</v>
      </c>
      <c r="B194" s="9" t="s">
        <v>886</v>
      </c>
      <c r="C194" s="9" t="s">
        <v>887</v>
      </c>
      <c r="D194" s="9" t="s">
        <v>4</v>
      </c>
      <c r="E194" s="9" t="s">
        <v>4</v>
      </c>
      <c r="F194" s="7">
        <v>41623</v>
      </c>
      <c r="G194" s="10">
        <v>3644</v>
      </c>
      <c r="H194" s="8">
        <v>637760995</v>
      </c>
      <c r="I194" s="9" t="s">
        <v>888</v>
      </c>
      <c r="J194" s="8">
        <v>94715</v>
      </c>
      <c r="K194" s="9" t="s">
        <v>274</v>
      </c>
      <c r="L194" s="9" t="s">
        <v>889</v>
      </c>
      <c r="M194" s="8">
        <v>2</v>
      </c>
      <c r="N194" s="9"/>
    </row>
    <row r="195" spans="1:14" x14ac:dyDescent="0.3">
      <c r="A195" s="8">
        <v>1157</v>
      </c>
      <c r="B195" s="9" t="s">
        <v>890</v>
      </c>
      <c r="C195" s="9" t="s">
        <v>891</v>
      </c>
      <c r="D195" s="9" t="s">
        <v>4</v>
      </c>
      <c r="E195" s="9" t="s">
        <v>366</v>
      </c>
      <c r="F195" s="7">
        <v>41420</v>
      </c>
      <c r="G195" s="10">
        <v>1714</v>
      </c>
      <c r="H195" s="8">
        <v>695956877</v>
      </c>
      <c r="I195" s="9" t="s">
        <v>892</v>
      </c>
      <c r="J195" s="8">
        <v>92108</v>
      </c>
      <c r="K195" s="9" t="s">
        <v>39</v>
      </c>
      <c r="L195" s="9" t="s">
        <v>893</v>
      </c>
      <c r="M195" s="8">
        <v>2</v>
      </c>
      <c r="N195" s="9"/>
    </row>
    <row r="196" spans="1:14" x14ac:dyDescent="0.3">
      <c r="A196" s="8">
        <v>1160</v>
      </c>
      <c r="B196" s="9" t="s">
        <v>902</v>
      </c>
      <c r="C196" s="9" t="s">
        <v>903</v>
      </c>
      <c r="D196" s="9" t="s">
        <v>4</v>
      </c>
      <c r="E196" s="9" t="s">
        <v>4</v>
      </c>
      <c r="F196" s="7">
        <v>41440</v>
      </c>
      <c r="G196" s="10">
        <v>5938</v>
      </c>
      <c r="H196" s="8">
        <v>633119291</v>
      </c>
      <c r="I196" s="9" t="s">
        <v>904</v>
      </c>
      <c r="J196" s="8">
        <v>78934</v>
      </c>
      <c r="K196" s="9" t="s">
        <v>368</v>
      </c>
      <c r="L196" s="9" t="s">
        <v>905</v>
      </c>
      <c r="M196" s="8">
        <v>2</v>
      </c>
      <c r="N196" s="9"/>
    </row>
    <row r="197" spans="1:14" x14ac:dyDescent="0.3">
      <c r="A197" s="8">
        <v>1161</v>
      </c>
      <c r="B197" s="9" t="s">
        <v>906</v>
      </c>
      <c r="C197" s="9" t="s">
        <v>907</v>
      </c>
      <c r="D197" s="9" t="s">
        <v>4</v>
      </c>
      <c r="E197" s="9" t="s">
        <v>366</v>
      </c>
      <c r="F197" s="7">
        <v>42897</v>
      </c>
      <c r="G197" s="10">
        <v>6638</v>
      </c>
      <c r="H197" s="8">
        <v>681980542</v>
      </c>
      <c r="I197" s="9" t="s">
        <v>908</v>
      </c>
      <c r="J197" s="8">
        <v>78107</v>
      </c>
      <c r="K197" s="9" t="s">
        <v>274</v>
      </c>
      <c r="L197" s="9" t="s">
        <v>909</v>
      </c>
      <c r="M197" s="8">
        <v>3</v>
      </c>
      <c r="N197" s="9"/>
    </row>
    <row r="198" spans="1:14" x14ac:dyDescent="0.3">
      <c r="A198" s="8">
        <v>1162</v>
      </c>
      <c r="B198" s="9" t="s">
        <v>910</v>
      </c>
      <c r="C198" s="9" t="s">
        <v>911</v>
      </c>
      <c r="D198" s="9" t="s">
        <v>4</v>
      </c>
      <c r="E198" s="9" t="s">
        <v>4</v>
      </c>
      <c r="F198" s="7">
        <v>42394</v>
      </c>
      <c r="G198" s="10">
        <v>7627</v>
      </c>
      <c r="H198" s="8">
        <v>690715712</v>
      </c>
      <c r="I198" s="9" t="s">
        <v>912</v>
      </c>
      <c r="J198" s="8">
        <v>78370</v>
      </c>
      <c r="K198" s="9" t="s">
        <v>58</v>
      </c>
      <c r="L198" s="9" t="s">
        <v>913</v>
      </c>
      <c r="M198" s="8">
        <v>3</v>
      </c>
      <c r="N198" s="9"/>
    </row>
    <row r="199" spans="1:14" x14ac:dyDescent="0.3">
      <c r="A199" s="8">
        <v>1163</v>
      </c>
      <c r="B199" s="9" t="s">
        <v>914</v>
      </c>
      <c r="C199" s="9" t="s">
        <v>915</v>
      </c>
      <c r="D199" s="9" t="s">
        <v>4</v>
      </c>
      <c r="E199" s="9" t="s">
        <v>4</v>
      </c>
      <c r="F199" s="7">
        <v>40720</v>
      </c>
      <c r="G199" s="10">
        <v>6615</v>
      </c>
      <c r="H199" s="8">
        <v>695249077</v>
      </c>
      <c r="I199" s="9" t="s">
        <v>916</v>
      </c>
      <c r="J199" s="8">
        <v>75953</v>
      </c>
      <c r="K199" s="9" t="s">
        <v>39</v>
      </c>
      <c r="L199" s="9" t="s">
        <v>917</v>
      </c>
      <c r="M199" s="8">
        <v>2</v>
      </c>
      <c r="N199" s="9"/>
    </row>
    <row r="200" spans="1:14" x14ac:dyDescent="0.3">
      <c r="A200" s="8">
        <v>1166</v>
      </c>
      <c r="B200" s="9" t="s">
        <v>926</v>
      </c>
      <c r="C200" s="9" t="s">
        <v>927</v>
      </c>
      <c r="D200" s="9" t="s">
        <v>4</v>
      </c>
      <c r="E200" s="9" t="s">
        <v>4</v>
      </c>
      <c r="F200" s="7">
        <v>42836</v>
      </c>
      <c r="G200" s="10">
        <v>3799</v>
      </c>
      <c r="H200" s="8">
        <v>678876506</v>
      </c>
      <c r="I200" s="9" t="s">
        <v>928</v>
      </c>
      <c r="J200" s="8">
        <v>78432</v>
      </c>
      <c r="K200" s="9" t="s">
        <v>194</v>
      </c>
      <c r="L200" s="9" t="s">
        <v>929</v>
      </c>
      <c r="M200" s="8">
        <v>2</v>
      </c>
      <c r="N200" s="9"/>
    </row>
    <row r="201" spans="1:14" x14ac:dyDescent="0.3">
      <c r="A201" s="8">
        <v>1171</v>
      </c>
      <c r="B201" s="9" t="s">
        <v>941</v>
      </c>
      <c r="C201" s="9" t="s">
        <v>179</v>
      </c>
      <c r="D201" s="9" t="s">
        <v>4</v>
      </c>
      <c r="E201" s="9" t="s">
        <v>4</v>
      </c>
      <c r="F201" s="7">
        <v>44054</v>
      </c>
      <c r="G201" s="10">
        <v>7041</v>
      </c>
      <c r="H201" s="8">
        <v>634218582</v>
      </c>
      <c r="I201" s="9" t="s">
        <v>942</v>
      </c>
      <c r="J201" s="8">
        <v>92453</v>
      </c>
      <c r="K201" s="9" t="s">
        <v>582</v>
      </c>
      <c r="L201" s="9" t="s">
        <v>943</v>
      </c>
      <c r="M201" s="8">
        <v>1</v>
      </c>
      <c r="N201" s="9"/>
    </row>
    <row r="202" spans="1:14" x14ac:dyDescent="0.3">
      <c r="A202" s="8">
        <v>1172</v>
      </c>
      <c r="B202" s="9" t="s">
        <v>944</v>
      </c>
      <c r="C202" s="9" t="s">
        <v>945</v>
      </c>
      <c r="D202" s="9" t="s">
        <v>4</v>
      </c>
      <c r="E202" s="9" t="s">
        <v>366</v>
      </c>
      <c r="F202" s="7">
        <v>44022</v>
      </c>
      <c r="G202" s="10">
        <v>4901</v>
      </c>
      <c r="H202" s="8">
        <v>622087478</v>
      </c>
      <c r="I202" s="9" t="s">
        <v>946</v>
      </c>
      <c r="J202" s="8">
        <v>95573</v>
      </c>
      <c r="K202" s="9" t="s">
        <v>162</v>
      </c>
      <c r="L202" s="9" t="s">
        <v>947</v>
      </c>
      <c r="M202" s="8">
        <v>3</v>
      </c>
      <c r="N202" s="9"/>
    </row>
    <row r="203" spans="1:14" x14ac:dyDescent="0.3">
      <c r="A203" s="8">
        <v>1028</v>
      </c>
      <c r="B203" s="9" t="s">
        <v>374</v>
      </c>
      <c r="C203" s="9" t="s">
        <v>375</v>
      </c>
      <c r="D203" s="9" t="s">
        <v>5</v>
      </c>
      <c r="E203" s="9" t="s">
        <v>376</v>
      </c>
      <c r="F203" s="7">
        <v>43476</v>
      </c>
      <c r="G203" s="10">
        <v>3166</v>
      </c>
      <c r="H203" s="8">
        <v>612423064</v>
      </c>
      <c r="I203" s="9" t="s">
        <v>377</v>
      </c>
      <c r="J203" s="8">
        <v>78715</v>
      </c>
      <c r="K203" s="9" t="s">
        <v>77</v>
      </c>
      <c r="L203" s="9" t="s">
        <v>378</v>
      </c>
      <c r="M203" s="8">
        <v>1</v>
      </c>
      <c r="N203" s="9"/>
    </row>
    <row r="204" spans="1:14" x14ac:dyDescent="0.3">
      <c r="A204" s="8">
        <v>1029</v>
      </c>
      <c r="B204" s="9" t="s">
        <v>379</v>
      </c>
      <c r="C204" s="9" t="s">
        <v>380</v>
      </c>
      <c r="D204" s="9" t="s">
        <v>5</v>
      </c>
      <c r="E204" s="9" t="s">
        <v>381</v>
      </c>
      <c r="F204" s="7">
        <v>43544</v>
      </c>
      <c r="G204" s="10">
        <v>7220</v>
      </c>
      <c r="H204" s="8">
        <v>626920924</v>
      </c>
      <c r="I204" s="9" t="s">
        <v>382</v>
      </c>
      <c r="J204" s="8">
        <v>91692</v>
      </c>
      <c r="K204" s="9" t="s">
        <v>46</v>
      </c>
      <c r="L204" s="9" t="s">
        <v>383</v>
      </c>
      <c r="M204" s="8">
        <v>3</v>
      </c>
      <c r="N204" s="9"/>
    </row>
    <row r="205" spans="1:14" x14ac:dyDescent="0.3">
      <c r="A205" s="8">
        <v>1030</v>
      </c>
      <c r="B205" s="9" t="s">
        <v>384</v>
      </c>
      <c r="C205" s="9" t="s">
        <v>385</v>
      </c>
      <c r="D205" s="9" t="s">
        <v>5</v>
      </c>
      <c r="E205" s="9" t="s">
        <v>376</v>
      </c>
      <c r="F205" s="7">
        <v>41617</v>
      </c>
      <c r="G205" s="10">
        <v>6297</v>
      </c>
      <c r="H205" s="8">
        <v>679042319</v>
      </c>
      <c r="I205" s="9" t="s">
        <v>386</v>
      </c>
      <c r="J205" s="8">
        <v>94739</v>
      </c>
      <c r="K205" s="9" t="s">
        <v>213</v>
      </c>
      <c r="L205" s="9" t="s">
        <v>387</v>
      </c>
      <c r="M205" s="8">
        <v>2</v>
      </c>
      <c r="N205" s="9"/>
    </row>
    <row r="206" spans="1:14" x14ac:dyDescent="0.3">
      <c r="A206" s="8">
        <v>1031</v>
      </c>
      <c r="B206" s="9" t="s">
        <v>388</v>
      </c>
      <c r="C206" s="9" t="s">
        <v>389</v>
      </c>
      <c r="D206" s="9" t="s">
        <v>5</v>
      </c>
      <c r="E206" s="9" t="s">
        <v>390</v>
      </c>
      <c r="F206" s="7">
        <v>40191</v>
      </c>
      <c r="G206" s="10">
        <v>6138</v>
      </c>
      <c r="H206" s="8">
        <v>668587194</v>
      </c>
      <c r="I206" s="9" t="s">
        <v>391</v>
      </c>
      <c r="J206" s="8">
        <v>92160</v>
      </c>
      <c r="K206" s="9" t="s">
        <v>218</v>
      </c>
      <c r="L206" s="9" t="s">
        <v>392</v>
      </c>
      <c r="M206" s="8">
        <v>2</v>
      </c>
      <c r="N206" s="9"/>
    </row>
    <row r="207" spans="1:14" x14ac:dyDescent="0.3">
      <c r="A207" s="8">
        <v>1032</v>
      </c>
      <c r="B207" s="9" t="s">
        <v>393</v>
      </c>
      <c r="C207" s="9" t="s">
        <v>394</v>
      </c>
      <c r="D207" s="9" t="s">
        <v>5</v>
      </c>
      <c r="E207" s="9" t="s">
        <v>381</v>
      </c>
      <c r="F207" s="7">
        <v>40271</v>
      </c>
      <c r="G207" s="10">
        <v>3311</v>
      </c>
      <c r="H207" s="8">
        <v>696447572</v>
      </c>
      <c r="I207" s="9" t="s">
        <v>395</v>
      </c>
      <c r="J207" s="8">
        <v>94990</v>
      </c>
      <c r="K207" s="9" t="s">
        <v>52</v>
      </c>
      <c r="L207" s="9" t="s">
        <v>396</v>
      </c>
      <c r="M207" s="8">
        <v>2</v>
      </c>
      <c r="N207" s="9"/>
    </row>
    <row r="208" spans="1:14" x14ac:dyDescent="0.3">
      <c r="A208" s="8">
        <v>1034</v>
      </c>
      <c r="B208" s="9" t="s">
        <v>401</v>
      </c>
      <c r="C208" s="9" t="s">
        <v>402</v>
      </c>
      <c r="D208" s="9" t="s">
        <v>5</v>
      </c>
      <c r="E208" s="9" t="s">
        <v>381</v>
      </c>
      <c r="F208" s="7">
        <v>40436</v>
      </c>
      <c r="G208" s="10">
        <v>6207</v>
      </c>
      <c r="H208" s="8">
        <v>636183822</v>
      </c>
      <c r="I208" s="9" t="s">
        <v>403</v>
      </c>
      <c r="J208" s="8">
        <v>91602</v>
      </c>
      <c r="K208" s="9" t="s">
        <v>32</v>
      </c>
      <c r="L208" s="9" t="s">
        <v>404</v>
      </c>
      <c r="M208" s="8">
        <v>3</v>
      </c>
      <c r="N208" s="9"/>
    </row>
    <row r="209" spans="1:14" x14ac:dyDescent="0.3">
      <c r="A209" s="8">
        <v>1035</v>
      </c>
      <c r="B209" s="9" t="s">
        <v>405</v>
      </c>
      <c r="C209" s="9" t="s">
        <v>406</v>
      </c>
      <c r="D209" s="9" t="s">
        <v>5</v>
      </c>
      <c r="E209" s="9" t="s">
        <v>407</v>
      </c>
      <c r="F209" s="7">
        <v>43118</v>
      </c>
      <c r="G209" s="10">
        <v>5518</v>
      </c>
      <c r="H209" s="8">
        <v>694762777</v>
      </c>
      <c r="I209" s="9" t="s">
        <v>408</v>
      </c>
      <c r="J209" s="8">
        <v>92489</v>
      </c>
      <c r="K209" s="9" t="s">
        <v>89</v>
      </c>
      <c r="L209" s="9" t="s">
        <v>409</v>
      </c>
      <c r="M209" s="8">
        <v>1</v>
      </c>
      <c r="N209" s="9"/>
    </row>
    <row r="210" spans="1:14" x14ac:dyDescent="0.3">
      <c r="A210" s="8">
        <v>1037</v>
      </c>
      <c r="B210" s="9" t="s">
        <v>414</v>
      </c>
      <c r="C210" s="9" t="s">
        <v>415</v>
      </c>
      <c r="D210" s="9" t="s">
        <v>5</v>
      </c>
      <c r="E210" s="9" t="s">
        <v>381</v>
      </c>
      <c r="F210" s="7">
        <v>41223</v>
      </c>
      <c r="G210" s="10">
        <v>4317</v>
      </c>
      <c r="H210" s="8">
        <v>668691907</v>
      </c>
      <c r="I210" s="9" t="s">
        <v>416</v>
      </c>
      <c r="J210" s="8">
        <v>94858</v>
      </c>
      <c r="K210" s="9" t="s">
        <v>218</v>
      </c>
      <c r="L210" s="9" t="s">
        <v>417</v>
      </c>
      <c r="M210" s="8">
        <v>1</v>
      </c>
      <c r="N210" s="9"/>
    </row>
    <row r="211" spans="1:14" x14ac:dyDescent="0.3">
      <c r="A211" s="8">
        <v>1038</v>
      </c>
      <c r="B211" s="9" t="s">
        <v>418</v>
      </c>
      <c r="C211" s="9" t="s">
        <v>419</v>
      </c>
      <c r="D211" s="9" t="s">
        <v>5</v>
      </c>
      <c r="E211" s="9" t="s">
        <v>407</v>
      </c>
      <c r="F211" s="7">
        <v>41053</v>
      </c>
      <c r="G211" s="10">
        <v>1811</v>
      </c>
      <c r="H211" s="8">
        <v>612840150</v>
      </c>
      <c r="I211" s="9" t="s">
        <v>420</v>
      </c>
      <c r="J211" s="8">
        <v>94655</v>
      </c>
      <c r="K211" s="9" t="s">
        <v>89</v>
      </c>
      <c r="L211" s="9" t="s">
        <v>421</v>
      </c>
      <c r="M211" s="8">
        <v>1</v>
      </c>
      <c r="N211" s="9"/>
    </row>
    <row r="212" spans="1:14" x14ac:dyDescent="0.3">
      <c r="A212" s="8">
        <v>1039</v>
      </c>
      <c r="B212" s="9" t="s">
        <v>422</v>
      </c>
      <c r="C212" s="9" t="s">
        <v>423</v>
      </c>
      <c r="D212" s="9" t="s">
        <v>5</v>
      </c>
      <c r="E212" s="9" t="s">
        <v>407</v>
      </c>
      <c r="F212" s="7">
        <v>43152</v>
      </c>
      <c r="G212" s="10">
        <v>6090</v>
      </c>
      <c r="H212" s="8">
        <v>678794407</v>
      </c>
      <c r="I212" s="9" t="s">
        <v>424</v>
      </c>
      <c r="J212" s="8">
        <v>78513</v>
      </c>
      <c r="K212" s="9" t="s">
        <v>124</v>
      </c>
      <c r="L212" s="9" t="s">
        <v>425</v>
      </c>
      <c r="M212" s="8">
        <v>3</v>
      </c>
      <c r="N212" s="9"/>
    </row>
    <row r="213" spans="1:14" x14ac:dyDescent="0.3">
      <c r="A213" s="8">
        <v>1040</v>
      </c>
      <c r="B213" s="9" t="s">
        <v>426</v>
      </c>
      <c r="C213" s="9" t="s">
        <v>427</v>
      </c>
      <c r="D213" s="9" t="s">
        <v>5</v>
      </c>
      <c r="E213" s="9" t="s">
        <v>407</v>
      </c>
      <c r="F213" s="7">
        <v>42743</v>
      </c>
      <c r="G213" s="10">
        <v>5776</v>
      </c>
      <c r="H213" s="8">
        <v>688722977</v>
      </c>
      <c r="I213" s="9" t="s">
        <v>428</v>
      </c>
      <c r="J213" s="8">
        <v>78429</v>
      </c>
      <c r="K213" s="9" t="s">
        <v>46</v>
      </c>
      <c r="L213" s="9" t="s">
        <v>429</v>
      </c>
      <c r="M213" s="8">
        <v>3</v>
      </c>
      <c r="N213" s="9"/>
    </row>
    <row r="214" spans="1:14" x14ac:dyDescent="0.3">
      <c r="A214" s="8">
        <v>1041</v>
      </c>
      <c r="B214" s="9" t="s">
        <v>430</v>
      </c>
      <c r="C214" s="9" t="s">
        <v>431</v>
      </c>
      <c r="D214" s="9" t="s">
        <v>5</v>
      </c>
      <c r="E214" s="9" t="s">
        <v>376</v>
      </c>
      <c r="F214" s="7">
        <v>41596</v>
      </c>
      <c r="G214" s="10">
        <v>3237</v>
      </c>
      <c r="H214" s="8">
        <v>696831918</v>
      </c>
      <c r="I214" s="9" t="s">
        <v>432</v>
      </c>
      <c r="J214" s="8">
        <v>95149</v>
      </c>
      <c r="K214" s="9" t="s">
        <v>274</v>
      </c>
      <c r="L214" s="9" t="s">
        <v>433</v>
      </c>
      <c r="M214" s="8">
        <v>1</v>
      </c>
      <c r="N214" s="9"/>
    </row>
    <row r="215" spans="1:14" x14ac:dyDescent="0.3">
      <c r="A215" s="8">
        <v>1043</v>
      </c>
      <c r="B215" s="9" t="s">
        <v>438</v>
      </c>
      <c r="C215" s="9" t="s">
        <v>439</v>
      </c>
      <c r="D215" s="9" t="s">
        <v>5</v>
      </c>
      <c r="E215" s="9" t="s">
        <v>390</v>
      </c>
      <c r="F215" s="7">
        <v>43817</v>
      </c>
      <c r="G215" s="10">
        <v>4715</v>
      </c>
      <c r="H215" s="8">
        <v>611347428</v>
      </c>
      <c r="I215" s="9" t="s">
        <v>440</v>
      </c>
      <c r="J215" s="8">
        <v>94925</v>
      </c>
      <c r="K215" s="9" t="s">
        <v>129</v>
      </c>
      <c r="L215" s="9" t="s">
        <v>441</v>
      </c>
      <c r="M215" s="8">
        <v>1</v>
      </c>
      <c r="N215" s="9"/>
    </row>
    <row r="216" spans="1:14" x14ac:dyDescent="0.3">
      <c r="A216" s="8">
        <v>1044</v>
      </c>
      <c r="B216" s="9" t="s">
        <v>442</v>
      </c>
      <c r="C216" s="9" t="s">
        <v>443</v>
      </c>
      <c r="D216" s="9" t="s">
        <v>5</v>
      </c>
      <c r="E216" s="9" t="s">
        <v>407</v>
      </c>
      <c r="F216" s="7">
        <v>42052</v>
      </c>
      <c r="G216" s="10">
        <v>7802</v>
      </c>
      <c r="H216" s="8">
        <v>695023737</v>
      </c>
      <c r="I216" s="9" t="s">
        <v>444</v>
      </c>
      <c r="J216" s="8">
        <v>94975</v>
      </c>
      <c r="K216" s="9" t="s">
        <v>109</v>
      </c>
      <c r="L216" s="9" t="s">
        <v>445</v>
      </c>
      <c r="M216" s="8">
        <v>3</v>
      </c>
      <c r="N216" s="9"/>
    </row>
    <row r="217" spans="1:14" x14ac:dyDescent="0.3">
      <c r="A217" s="8">
        <v>1045</v>
      </c>
      <c r="B217" s="9" t="s">
        <v>446</v>
      </c>
      <c r="C217" s="9" t="s">
        <v>447</v>
      </c>
      <c r="D217" s="9" t="s">
        <v>5</v>
      </c>
      <c r="E217" s="9" t="s">
        <v>407</v>
      </c>
      <c r="F217" s="7">
        <v>43226</v>
      </c>
      <c r="G217" s="10">
        <v>4658</v>
      </c>
      <c r="H217" s="8">
        <v>683882191</v>
      </c>
      <c r="I217" s="9" t="s">
        <v>448</v>
      </c>
      <c r="J217" s="8">
        <v>94679</v>
      </c>
      <c r="K217" s="9" t="s">
        <v>65</v>
      </c>
      <c r="L217" s="9" t="s">
        <v>449</v>
      </c>
      <c r="M217" s="8">
        <v>2</v>
      </c>
      <c r="N217" s="9"/>
    </row>
    <row r="218" spans="1:14" x14ac:dyDescent="0.3">
      <c r="A218" s="8">
        <v>1046</v>
      </c>
      <c r="B218" s="9" t="s">
        <v>450</v>
      </c>
      <c r="C218" s="9" t="s">
        <v>451</v>
      </c>
      <c r="D218" s="9" t="s">
        <v>5</v>
      </c>
      <c r="E218" s="9" t="s">
        <v>376</v>
      </c>
      <c r="F218" s="7">
        <v>43591</v>
      </c>
      <c r="G218" s="10">
        <v>2195</v>
      </c>
      <c r="H218" s="8">
        <v>688200343</v>
      </c>
      <c r="I218" s="9" t="s">
        <v>452</v>
      </c>
      <c r="J218" s="8">
        <v>93295</v>
      </c>
      <c r="K218" s="9" t="s">
        <v>25</v>
      </c>
      <c r="L218" s="9" t="s">
        <v>453</v>
      </c>
      <c r="M218" s="8">
        <v>1</v>
      </c>
      <c r="N218" s="9"/>
    </row>
    <row r="219" spans="1:14" x14ac:dyDescent="0.3">
      <c r="A219" s="8">
        <v>1052</v>
      </c>
      <c r="B219" s="9" t="s">
        <v>474</v>
      </c>
      <c r="C219" s="9" t="s">
        <v>475</v>
      </c>
      <c r="D219" s="9" t="s">
        <v>5</v>
      </c>
      <c r="E219" s="9" t="s">
        <v>407</v>
      </c>
      <c r="F219" s="7">
        <v>43863</v>
      </c>
      <c r="G219" s="10">
        <v>7985</v>
      </c>
      <c r="H219" s="8">
        <v>676916895</v>
      </c>
      <c r="I219" s="9" t="s">
        <v>476</v>
      </c>
      <c r="J219" s="8">
        <v>92335</v>
      </c>
      <c r="K219" s="9" t="s">
        <v>477</v>
      </c>
      <c r="L219" s="9" t="s">
        <v>478</v>
      </c>
      <c r="M219" s="8">
        <v>3</v>
      </c>
      <c r="N219" s="9"/>
    </row>
    <row r="220" spans="1:14" x14ac:dyDescent="0.3">
      <c r="A220" s="8">
        <v>1054</v>
      </c>
      <c r="B220" s="9" t="s">
        <v>483</v>
      </c>
      <c r="C220" s="9" t="s">
        <v>484</v>
      </c>
      <c r="D220" s="9" t="s">
        <v>5</v>
      </c>
      <c r="E220" s="9" t="s">
        <v>376</v>
      </c>
      <c r="F220" s="7">
        <v>40806</v>
      </c>
      <c r="G220" s="10">
        <v>7792</v>
      </c>
      <c r="H220" s="8">
        <v>647850365</v>
      </c>
      <c r="I220" s="9" t="s">
        <v>485</v>
      </c>
      <c r="J220" s="8">
        <v>94901</v>
      </c>
      <c r="K220" s="9" t="s">
        <v>58</v>
      </c>
      <c r="L220" s="9" t="s">
        <v>486</v>
      </c>
      <c r="M220" s="8">
        <v>3</v>
      </c>
      <c r="N220" s="9"/>
    </row>
    <row r="221" spans="1:14" x14ac:dyDescent="0.3">
      <c r="A221" s="8">
        <v>1055</v>
      </c>
      <c r="B221" s="9" t="s">
        <v>487</v>
      </c>
      <c r="C221" s="9" t="s">
        <v>488</v>
      </c>
      <c r="D221" s="9" t="s">
        <v>5</v>
      </c>
      <c r="E221" s="9" t="s">
        <v>390</v>
      </c>
      <c r="F221" s="7">
        <v>43400</v>
      </c>
      <c r="G221" s="10">
        <v>7423</v>
      </c>
      <c r="H221" s="8">
        <v>671401924</v>
      </c>
      <c r="I221" s="9" t="s">
        <v>489</v>
      </c>
      <c r="J221" s="8">
        <v>91258</v>
      </c>
      <c r="K221" s="9" t="s">
        <v>25</v>
      </c>
      <c r="L221" s="9" t="s">
        <v>490</v>
      </c>
      <c r="M221" s="8">
        <v>2</v>
      </c>
      <c r="N221" s="9"/>
    </row>
    <row r="222" spans="1:14" x14ac:dyDescent="0.3">
      <c r="A222" s="8">
        <v>1056</v>
      </c>
      <c r="B222" s="9" t="s">
        <v>491</v>
      </c>
      <c r="C222" s="9" t="s">
        <v>492</v>
      </c>
      <c r="D222" s="9" t="s">
        <v>5</v>
      </c>
      <c r="E222" s="9" t="s">
        <v>376</v>
      </c>
      <c r="F222" s="7">
        <v>42457</v>
      </c>
      <c r="G222" s="10">
        <v>3800</v>
      </c>
      <c r="H222" s="8">
        <v>633221335</v>
      </c>
      <c r="I222" s="9" t="s">
        <v>493</v>
      </c>
      <c r="J222" s="8">
        <v>95673</v>
      </c>
      <c r="K222" s="9" t="s">
        <v>77</v>
      </c>
      <c r="L222" s="9" t="s">
        <v>494</v>
      </c>
      <c r="M222" s="8">
        <v>2</v>
      </c>
      <c r="N222" s="9"/>
    </row>
    <row r="223" spans="1:14" x14ac:dyDescent="0.3">
      <c r="A223" s="8">
        <v>1057</v>
      </c>
      <c r="B223" s="9" t="s">
        <v>495</v>
      </c>
      <c r="C223" s="9" t="s">
        <v>496</v>
      </c>
      <c r="D223" s="9" t="s">
        <v>5</v>
      </c>
      <c r="E223" s="9" t="s">
        <v>390</v>
      </c>
      <c r="F223" s="7">
        <v>42875</v>
      </c>
      <c r="G223" s="10">
        <v>5421</v>
      </c>
      <c r="H223" s="8">
        <v>690105092</v>
      </c>
      <c r="I223" s="9" t="s">
        <v>497</v>
      </c>
      <c r="J223" s="8">
        <v>93156</v>
      </c>
      <c r="K223" s="9" t="s">
        <v>114</v>
      </c>
      <c r="L223" s="9" t="s">
        <v>498</v>
      </c>
      <c r="M223" s="8">
        <v>2</v>
      </c>
      <c r="N223" s="9"/>
    </row>
    <row r="224" spans="1:14" x14ac:dyDescent="0.3">
      <c r="A224" s="8">
        <v>1058</v>
      </c>
      <c r="B224" s="9" t="s">
        <v>499</v>
      </c>
      <c r="C224" s="9" t="s">
        <v>500</v>
      </c>
      <c r="D224" s="9" t="s">
        <v>5</v>
      </c>
      <c r="E224" s="9" t="s">
        <v>390</v>
      </c>
      <c r="F224" s="7">
        <v>42777</v>
      </c>
      <c r="G224" s="10">
        <v>2013</v>
      </c>
      <c r="H224" s="8">
        <v>625204258</v>
      </c>
      <c r="I224" s="9" t="s">
        <v>501</v>
      </c>
      <c r="J224" s="8">
        <v>78264</v>
      </c>
      <c r="K224" s="9" t="s">
        <v>58</v>
      </c>
      <c r="L224" s="9" t="s">
        <v>502</v>
      </c>
      <c r="M224" s="8">
        <v>2</v>
      </c>
      <c r="N224" s="9"/>
    </row>
    <row r="225" spans="1:14" x14ac:dyDescent="0.3">
      <c r="A225" s="8">
        <v>1059</v>
      </c>
      <c r="B225" s="9" t="s">
        <v>503</v>
      </c>
      <c r="C225" s="9" t="s">
        <v>504</v>
      </c>
      <c r="D225" s="9" t="s">
        <v>5</v>
      </c>
      <c r="E225" s="9" t="s">
        <v>381</v>
      </c>
      <c r="F225" s="7">
        <v>44186</v>
      </c>
      <c r="G225" s="10">
        <v>3414</v>
      </c>
      <c r="H225" s="8">
        <v>666367273</v>
      </c>
      <c r="I225" s="9" t="s">
        <v>505</v>
      </c>
      <c r="J225" s="8">
        <v>78493</v>
      </c>
      <c r="K225" s="9" t="s">
        <v>129</v>
      </c>
      <c r="L225" s="9" t="s">
        <v>506</v>
      </c>
      <c r="M225" s="8">
        <v>1</v>
      </c>
      <c r="N225" s="9"/>
    </row>
    <row r="226" spans="1:14" x14ac:dyDescent="0.3">
      <c r="A226" s="8">
        <v>1060</v>
      </c>
      <c r="B226" s="9" t="s">
        <v>507</v>
      </c>
      <c r="C226" s="9" t="s">
        <v>508</v>
      </c>
      <c r="D226" s="9" t="s">
        <v>5</v>
      </c>
      <c r="E226" s="9" t="s">
        <v>390</v>
      </c>
      <c r="F226" s="7">
        <v>43084</v>
      </c>
      <c r="G226" s="10">
        <v>1426</v>
      </c>
      <c r="H226" s="8">
        <v>678171318</v>
      </c>
      <c r="I226" s="9" t="s">
        <v>509</v>
      </c>
      <c r="J226" s="8">
        <v>94910</v>
      </c>
      <c r="K226" s="9" t="s">
        <v>46</v>
      </c>
      <c r="L226" s="9" t="s">
        <v>510</v>
      </c>
      <c r="M226" s="8">
        <v>2</v>
      </c>
      <c r="N226" s="9"/>
    </row>
    <row r="227" spans="1:14" x14ac:dyDescent="0.3">
      <c r="A227" s="8">
        <v>1063</v>
      </c>
      <c r="B227" s="9" t="s">
        <v>519</v>
      </c>
      <c r="C227" s="9" t="s">
        <v>520</v>
      </c>
      <c r="D227" s="9" t="s">
        <v>5</v>
      </c>
      <c r="E227" s="9" t="s">
        <v>390</v>
      </c>
      <c r="F227" s="7">
        <v>43537</v>
      </c>
      <c r="G227" s="10">
        <v>4102</v>
      </c>
      <c r="H227" s="8">
        <v>664797629</v>
      </c>
      <c r="I227" s="9" t="s">
        <v>521</v>
      </c>
      <c r="J227" s="8">
        <v>94472</v>
      </c>
      <c r="K227" s="9" t="s">
        <v>52</v>
      </c>
      <c r="L227" s="9" t="s">
        <v>522</v>
      </c>
      <c r="M227" s="8">
        <v>3</v>
      </c>
      <c r="N227" s="9"/>
    </row>
    <row r="228" spans="1:14" x14ac:dyDescent="0.3">
      <c r="A228" s="8">
        <v>1064</v>
      </c>
      <c r="B228" s="9" t="s">
        <v>523</v>
      </c>
      <c r="C228" s="9" t="s">
        <v>524</v>
      </c>
      <c r="D228" s="9" t="s">
        <v>5</v>
      </c>
      <c r="E228" s="9" t="s">
        <v>390</v>
      </c>
      <c r="F228" s="7">
        <v>41529</v>
      </c>
      <c r="G228" s="10">
        <v>7819</v>
      </c>
      <c r="H228" s="8">
        <v>629602849</v>
      </c>
      <c r="I228" s="9" t="s">
        <v>525</v>
      </c>
      <c r="J228" s="8">
        <v>94979</v>
      </c>
      <c r="K228" s="9" t="s">
        <v>83</v>
      </c>
      <c r="L228" s="9" t="s">
        <v>526</v>
      </c>
      <c r="M228" s="8">
        <v>3</v>
      </c>
      <c r="N228" s="9"/>
    </row>
    <row r="229" spans="1:14" x14ac:dyDescent="0.3">
      <c r="A229" s="8">
        <v>1067</v>
      </c>
      <c r="B229" s="9" t="s">
        <v>535</v>
      </c>
      <c r="C229" s="9" t="s">
        <v>536</v>
      </c>
      <c r="D229" s="9" t="s">
        <v>5</v>
      </c>
      <c r="E229" s="9" t="s">
        <v>390</v>
      </c>
      <c r="F229" s="7">
        <v>43904</v>
      </c>
      <c r="G229" s="10">
        <v>7505</v>
      </c>
      <c r="H229" s="8">
        <v>622452585</v>
      </c>
      <c r="I229" s="9" t="s">
        <v>537</v>
      </c>
      <c r="J229" s="8">
        <v>93154</v>
      </c>
      <c r="K229" s="9" t="s">
        <v>189</v>
      </c>
      <c r="L229" s="9" t="s">
        <v>538</v>
      </c>
      <c r="M229" s="8">
        <v>3</v>
      </c>
      <c r="N229" s="9"/>
    </row>
    <row r="230" spans="1:14" x14ac:dyDescent="0.3">
      <c r="A230" s="8">
        <v>1070</v>
      </c>
      <c r="B230" s="9" t="s">
        <v>547</v>
      </c>
      <c r="C230" s="9" t="s">
        <v>548</v>
      </c>
      <c r="D230" s="9" t="s">
        <v>5</v>
      </c>
      <c r="E230" s="9" t="s">
        <v>407</v>
      </c>
      <c r="F230" s="7">
        <v>43749</v>
      </c>
      <c r="G230" s="10">
        <v>3546</v>
      </c>
      <c r="H230" s="8">
        <v>635014138</v>
      </c>
      <c r="I230" s="9" t="s">
        <v>549</v>
      </c>
      <c r="J230" s="8">
        <v>91141</v>
      </c>
      <c r="K230" s="9" t="s">
        <v>32</v>
      </c>
      <c r="L230" s="9" t="s">
        <v>550</v>
      </c>
      <c r="M230" s="8">
        <v>1</v>
      </c>
      <c r="N230" s="9"/>
    </row>
    <row r="231" spans="1:14" x14ac:dyDescent="0.3">
      <c r="A231" s="8">
        <v>1071</v>
      </c>
      <c r="B231" s="9" t="s">
        <v>551</v>
      </c>
      <c r="C231" s="9" t="s">
        <v>552</v>
      </c>
      <c r="D231" s="9" t="s">
        <v>5</v>
      </c>
      <c r="E231" s="9" t="s">
        <v>376</v>
      </c>
      <c r="F231" s="7">
        <v>41353</v>
      </c>
      <c r="G231" s="10">
        <v>7820</v>
      </c>
      <c r="H231" s="8">
        <v>664613705</v>
      </c>
      <c r="I231" s="9" t="s">
        <v>553</v>
      </c>
      <c r="J231" s="8">
        <v>78230</v>
      </c>
      <c r="K231" s="9" t="s">
        <v>32</v>
      </c>
      <c r="L231" s="9" t="s">
        <v>554</v>
      </c>
      <c r="M231" s="8">
        <v>3</v>
      </c>
      <c r="N231" s="9"/>
    </row>
    <row r="232" spans="1:14" x14ac:dyDescent="0.3">
      <c r="A232" s="8">
        <v>1073</v>
      </c>
      <c r="B232" s="9" t="s">
        <v>559</v>
      </c>
      <c r="C232" s="9" t="s">
        <v>560</v>
      </c>
      <c r="D232" s="9" t="s">
        <v>5</v>
      </c>
      <c r="E232" s="9" t="s">
        <v>407</v>
      </c>
      <c r="F232" s="7">
        <v>43689</v>
      </c>
      <c r="G232" s="10">
        <v>1458</v>
      </c>
      <c r="H232" s="8">
        <v>659745084</v>
      </c>
      <c r="I232" s="9" t="s">
        <v>561</v>
      </c>
      <c r="J232" s="8">
        <v>94235</v>
      </c>
      <c r="K232" s="9" t="s">
        <v>83</v>
      </c>
      <c r="L232" s="9" t="s">
        <v>562</v>
      </c>
      <c r="M232" s="8">
        <v>3</v>
      </c>
      <c r="N232" s="9"/>
    </row>
    <row r="233" spans="1:14" x14ac:dyDescent="0.3">
      <c r="A233" s="8">
        <v>1074</v>
      </c>
      <c r="B233" s="9" t="s">
        <v>563</v>
      </c>
      <c r="C233" s="9" t="s">
        <v>564</v>
      </c>
      <c r="D233" s="9" t="s">
        <v>5</v>
      </c>
      <c r="E233" s="9" t="s">
        <v>376</v>
      </c>
      <c r="F233" s="7">
        <v>42388</v>
      </c>
      <c r="G233" s="10">
        <v>5331</v>
      </c>
      <c r="H233" s="8">
        <v>612985476</v>
      </c>
      <c r="I233" s="9" t="s">
        <v>565</v>
      </c>
      <c r="J233" s="8">
        <v>94979</v>
      </c>
      <c r="K233" s="9" t="s">
        <v>162</v>
      </c>
      <c r="L233" s="9" t="s">
        <v>566</v>
      </c>
      <c r="M233" s="8">
        <v>2</v>
      </c>
      <c r="N233" s="9"/>
    </row>
    <row r="234" spans="1:14" x14ac:dyDescent="0.3">
      <c r="A234" s="8">
        <v>1079</v>
      </c>
      <c r="B234" s="9" t="s">
        <v>584</v>
      </c>
      <c r="C234" s="9" t="s">
        <v>585</v>
      </c>
      <c r="D234" s="9" t="s">
        <v>5</v>
      </c>
      <c r="E234" s="9" t="s">
        <v>407</v>
      </c>
      <c r="F234" s="7">
        <v>44130</v>
      </c>
      <c r="G234" s="10">
        <v>2297</v>
      </c>
      <c r="H234" s="8">
        <v>636466276</v>
      </c>
      <c r="I234" s="9" t="s">
        <v>586</v>
      </c>
      <c r="J234" s="8">
        <v>93934</v>
      </c>
      <c r="K234" s="9" t="s">
        <v>274</v>
      </c>
      <c r="L234" s="9" t="s">
        <v>587</v>
      </c>
      <c r="M234" s="8">
        <v>3</v>
      </c>
      <c r="N234" s="9"/>
    </row>
    <row r="235" spans="1:14" x14ac:dyDescent="0.3">
      <c r="A235" s="8">
        <v>1080</v>
      </c>
      <c r="B235" s="9" t="s">
        <v>588</v>
      </c>
      <c r="C235" s="9" t="s">
        <v>589</v>
      </c>
      <c r="D235" s="9" t="s">
        <v>5</v>
      </c>
      <c r="E235" s="9" t="s">
        <v>390</v>
      </c>
      <c r="F235" s="7">
        <v>42759</v>
      </c>
      <c r="G235" s="10">
        <v>2439</v>
      </c>
      <c r="H235" s="8">
        <v>673087409</v>
      </c>
      <c r="I235" s="9" t="s">
        <v>590</v>
      </c>
      <c r="J235" s="8">
        <v>75400</v>
      </c>
      <c r="K235" s="9" t="s">
        <v>477</v>
      </c>
      <c r="L235" s="9" t="s">
        <v>591</v>
      </c>
      <c r="M235" s="8">
        <v>3</v>
      </c>
      <c r="N235" s="9"/>
    </row>
    <row r="236" spans="1:14" x14ac:dyDescent="0.3">
      <c r="A236" s="8">
        <v>1084</v>
      </c>
      <c r="B236" s="9" t="s">
        <v>604</v>
      </c>
      <c r="C236" s="9" t="s">
        <v>159</v>
      </c>
      <c r="D236" s="9" t="s">
        <v>5</v>
      </c>
      <c r="E236" s="9" t="s">
        <v>376</v>
      </c>
      <c r="F236" s="7">
        <v>43160</v>
      </c>
      <c r="G236" s="10">
        <v>1562</v>
      </c>
      <c r="H236" s="8">
        <v>670868958</v>
      </c>
      <c r="I236" s="9" t="s">
        <v>605</v>
      </c>
      <c r="J236" s="8">
        <v>93655</v>
      </c>
      <c r="K236" s="9" t="s">
        <v>58</v>
      </c>
      <c r="L236" s="9" t="s">
        <v>606</v>
      </c>
      <c r="M236" s="8">
        <v>3</v>
      </c>
      <c r="N236" s="9"/>
    </row>
    <row r="237" spans="1:14" x14ac:dyDescent="0.3">
      <c r="A237" s="8">
        <v>1087</v>
      </c>
      <c r="B237" s="9" t="s">
        <v>615</v>
      </c>
      <c r="C237" s="9" t="s">
        <v>325</v>
      </c>
      <c r="D237" s="9" t="s">
        <v>5</v>
      </c>
      <c r="E237" s="9" t="s">
        <v>381</v>
      </c>
      <c r="F237" s="7">
        <v>40848</v>
      </c>
      <c r="G237" s="10">
        <v>4970</v>
      </c>
      <c r="H237" s="8">
        <v>610148502</v>
      </c>
      <c r="I237" s="9" t="s">
        <v>616</v>
      </c>
      <c r="J237" s="8">
        <v>91297</v>
      </c>
      <c r="K237" s="9" t="s">
        <v>32</v>
      </c>
      <c r="L237" s="9" t="s">
        <v>617</v>
      </c>
      <c r="M237" s="8">
        <v>3</v>
      </c>
      <c r="N237" s="9"/>
    </row>
    <row r="238" spans="1:14" x14ac:dyDescent="0.3">
      <c r="A238" s="8">
        <v>1089</v>
      </c>
      <c r="B238" s="9" t="s">
        <v>622</v>
      </c>
      <c r="C238" s="9" t="s">
        <v>623</v>
      </c>
      <c r="D238" s="9" t="s">
        <v>5</v>
      </c>
      <c r="E238" s="9" t="s">
        <v>407</v>
      </c>
      <c r="F238" s="7">
        <v>43801</v>
      </c>
      <c r="G238" s="10">
        <v>1731</v>
      </c>
      <c r="H238" s="8">
        <v>635762699</v>
      </c>
      <c r="I238" s="9" t="s">
        <v>624</v>
      </c>
      <c r="J238" s="8">
        <v>91456</v>
      </c>
      <c r="K238" s="9" t="s">
        <v>89</v>
      </c>
      <c r="L238" s="9" t="s">
        <v>625</v>
      </c>
      <c r="M238" s="8">
        <v>3</v>
      </c>
      <c r="N238" s="9"/>
    </row>
    <row r="239" spans="1:14" x14ac:dyDescent="0.3">
      <c r="A239" s="8">
        <v>1090</v>
      </c>
      <c r="B239" s="9" t="s">
        <v>626</v>
      </c>
      <c r="C239" s="9" t="s">
        <v>627</v>
      </c>
      <c r="D239" s="9" t="s">
        <v>5</v>
      </c>
      <c r="E239" s="9" t="s">
        <v>376</v>
      </c>
      <c r="F239" s="7">
        <v>43267</v>
      </c>
      <c r="G239" s="10">
        <v>4268</v>
      </c>
      <c r="H239" s="8">
        <v>647892413</v>
      </c>
      <c r="I239" s="9" t="s">
        <v>628</v>
      </c>
      <c r="J239" s="8">
        <v>95946</v>
      </c>
      <c r="K239" s="9" t="s">
        <v>213</v>
      </c>
      <c r="L239" s="9" t="s">
        <v>629</v>
      </c>
      <c r="M239" s="8">
        <v>2</v>
      </c>
      <c r="N239" s="9"/>
    </row>
    <row r="240" spans="1:14" x14ac:dyDescent="0.3">
      <c r="A240" s="8">
        <v>1092</v>
      </c>
      <c r="B240" s="9" t="s">
        <v>634</v>
      </c>
      <c r="C240" s="9" t="s">
        <v>635</v>
      </c>
      <c r="D240" s="9" t="s">
        <v>5</v>
      </c>
      <c r="E240" s="9" t="s">
        <v>376</v>
      </c>
      <c r="F240" s="7">
        <v>43298</v>
      </c>
      <c r="G240" s="10">
        <v>2890</v>
      </c>
      <c r="H240" s="8">
        <v>650308579</v>
      </c>
      <c r="I240" s="9" t="s">
        <v>636</v>
      </c>
      <c r="J240" s="8">
        <v>92207</v>
      </c>
      <c r="K240" s="9" t="s">
        <v>83</v>
      </c>
      <c r="L240" s="9" t="s">
        <v>637</v>
      </c>
      <c r="M240" s="8">
        <v>1</v>
      </c>
      <c r="N240" s="9"/>
    </row>
    <row r="241" spans="1:14" x14ac:dyDescent="0.3">
      <c r="A241" s="8">
        <v>1094</v>
      </c>
      <c r="B241" s="9" t="s">
        <v>642</v>
      </c>
      <c r="C241" s="9" t="s">
        <v>643</v>
      </c>
      <c r="D241" s="9" t="s">
        <v>5</v>
      </c>
      <c r="E241" s="9" t="s">
        <v>376</v>
      </c>
      <c r="F241" s="7">
        <v>40719</v>
      </c>
      <c r="G241" s="10">
        <v>3950</v>
      </c>
      <c r="H241" s="8">
        <v>625028208</v>
      </c>
      <c r="I241" s="9" t="s">
        <v>644</v>
      </c>
      <c r="J241" s="8">
        <v>75700</v>
      </c>
      <c r="K241" s="9" t="s">
        <v>340</v>
      </c>
      <c r="L241" s="9" t="s">
        <v>645</v>
      </c>
      <c r="M241" s="8">
        <v>3</v>
      </c>
      <c r="N241" s="9"/>
    </row>
    <row r="242" spans="1:14" x14ac:dyDescent="0.3">
      <c r="A242" s="8">
        <v>1098</v>
      </c>
      <c r="B242" s="9" t="s">
        <v>658</v>
      </c>
      <c r="C242" s="9" t="s">
        <v>659</v>
      </c>
      <c r="D242" s="9" t="s">
        <v>5</v>
      </c>
      <c r="E242" s="9" t="s">
        <v>381</v>
      </c>
      <c r="F242" s="7">
        <v>40994</v>
      </c>
      <c r="G242" s="10">
        <v>5265</v>
      </c>
      <c r="H242" s="8">
        <v>671765049</v>
      </c>
      <c r="I242" s="9" t="s">
        <v>660</v>
      </c>
      <c r="J242" s="8">
        <v>94595</v>
      </c>
      <c r="K242" s="9" t="s">
        <v>114</v>
      </c>
      <c r="L242" s="9" t="s">
        <v>661</v>
      </c>
      <c r="M242" s="8">
        <v>2</v>
      </c>
      <c r="N242" s="9"/>
    </row>
    <row r="243" spans="1:14" x14ac:dyDescent="0.3">
      <c r="A243" s="8">
        <v>1099</v>
      </c>
      <c r="B243" s="9" t="s">
        <v>662</v>
      </c>
      <c r="C243" s="9" t="s">
        <v>663</v>
      </c>
      <c r="D243" s="9" t="s">
        <v>5</v>
      </c>
      <c r="E243" s="9" t="s">
        <v>381</v>
      </c>
      <c r="F243" s="7">
        <v>41646</v>
      </c>
      <c r="G243" s="10">
        <v>7500</v>
      </c>
      <c r="H243" s="8">
        <v>633734360</v>
      </c>
      <c r="I243" s="9" t="s">
        <v>664</v>
      </c>
      <c r="J243" s="8">
        <v>91183</v>
      </c>
      <c r="K243" s="9" t="s">
        <v>269</v>
      </c>
      <c r="L243" s="9" t="s">
        <v>665</v>
      </c>
      <c r="M243" s="8">
        <v>2</v>
      </c>
      <c r="N243" s="9"/>
    </row>
    <row r="244" spans="1:14" x14ac:dyDescent="0.3">
      <c r="A244" s="8">
        <v>1100</v>
      </c>
      <c r="B244" s="9" t="s">
        <v>666</v>
      </c>
      <c r="C244" s="9" t="s">
        <v>667</v>
      </c>
      <c r="D244" s="9" t="s">
        <v>5</v>
      </c>
      <c r="E244" s="9" t="s">
        <v>376</v>
      </c>
      <c r="F244" s="7">
        <v>40956</v>
      </c>
      <c r="G244" s="10">
        <v>1841</v>
      </c>
      <c r="H244" s="8">
        <v>629634035</v>
      </c>
      <c r="I244" s="9" t="s">
        <v>668</v>
      </c>
      <c r="J244" s="8">
        <v>95408</v>
      </c>
      <c r="K244" s="9" t="s">
        <v>89</v>
      </c>
      <c r="L244" s="9" t="s">
        <v>669</v>
      </c>
      <c r="M244" s="8">
        <v>1</v>
      </c>
      <c r="N244" s="9"/>
    </row>
    <row r="245" spans="1:14" x14ac:dyDescent="0.3">
      <c r="A245" s="8">
        <v>1105</v>
      </c>
      <c r="B245" s="9" t="s">
        <v>686</v>
      </c>
      <c r="C245" s="9" t="s">
        <v>687</v>
      </c>
      <c r="D245" s="9" t="s">
        <v>5</v>
      </c>
      <c r="E245" s="9" t="s">
        <v>407</v>
      </c>
      <c r="F245" s="7">
        <v>43777</v>
      </c>
      <c r="G245" s="10">
        <v>5542</v>
      </c>
      <c r="H245" s="8">
        <v>632676009</v>
      </c>
      <c r="I245" s="9" t="s">
        <v>688</v>
      </c>
      <c r="J245" s="8">
        <v>94501</v>
      </c>
      <c r="K245" s="9" t="s">
        <v>65</v>
      </c>
      <c r="L245" s="9" t="s">
        <v>689</v>
      </c>
      <c r="M245" s="8">
        <v>3</v>
      </c>
      <c r="N245" s="9"/>
    </row>
    <row r="246" spans="1:14" x14ac:dyDescent="0.3">
      <c r="A246" s="8">
        <v>1106</v>
      </c>
      <c r="B246" s="9" t="s">
        <v>690</v>
      </c>
      <c r="C246" s="9" t="s">
        <v>691</v>
      </c>
      <c r="D246" s="9" t="s">
        <v>5</v>
      </c>
      <c r="E246" s="9" t="s">
        <v>376</v>
      </c>
      <c r="F246" s="7">
        <v>44094</v>
      </c>
      <c r="G246" s="10">
        <v>5405</v>
      </c>
      <c r="H246" s="8">
        <v>668504825</v>
      </c>
      <c r="I246" s="9" t="s">
        <v>692</v>
      </c>
      <c r="J246" s="8">
        <v>94343</v>
      </c>
      <c r="K246" s="9" t="s">
        <v>129</v>
      </c>
      <c r="L246" s="9" t="s">
        <v>693</v>
      </c>
      <c r="M246" s="8">
        <v>2</v>
      </c>
      <c r="N246" s="9"/>
    </row>
    <row r="247" spans="1:14" x14ac:dyDescent="0.3">
      <c r="A247" s="8">
        <v>1109</v>
      </c>
      <c r="B247" s="9" t="s">
        <v>701</v>
      </c>
      <c r="C247" s="9" t="s">
        <v>702</v>
      </c>
      <c r="D247" s="9" t="s">
        <v>5</v>
      </c>
      <c r="E247" s="9" t="s">
        <v>407</v>
      </c>
      <c r="F247" s="7">
        <v>40718</v>
      </c>
      <c r="G247" s="10">
        <v>6170</v>
      </c>
      <c r="H247" s="8">
        <v>622773785</v>
      </c>
      <c r="I247" s="9" t="s">
        <v>703</v>
      </c>
      <c r="J247" s="8">
        <v>78485</v>
      </c>
      <c r="K247" s="9" t="s">
        <v>162</v>
      </c>
      <c r="L247" s="9" t="s">
        <v>704</v>
      </c>
      <c r="M247" s="8">
        <v>2</v>
      </c>
      <c r="N247" s="9"/>
    </row>
    <row r="248" spans="1:14" x14ac:dyDescent="0.3">
      <c r="A248" s="8">
        <v>1110</v>
      </c>
      <c r="B248" s="9" t="s">
        <v>705</v>
      </c>
      <c r="C248" s="9" t="s">
        <v>706</v>
      </c>
      <c r="D248" s="9" t="s">
        <v>5</v>
      </c>
      <c r="E248" s="9" t="s">
        <v>407</v>
      </c>
      <c r="F248" s="7">
        <v>40690</v>
      </c>
      <c r="G248" s="10">
        <v>3940</v>
      </c>
      <c r="H248" s="8">
        <v>616612802</v>
      </c>
      <c r="I248" s="9" t="s">
        <v>707</v>
      </c>
      <c r="J248" s="8">
        <v>92873</v>
      </c>
      <c r="K248" s="9" t="s">
        <v>218</v>
      </c>
      <c r="L248" s="9" t="s">
        <v>708</v>
      </c>
      <c r="M248" s="8">
        <v>3</v>
      </c>
      <c r="N248" s="9"/>
    </row>
    <row r="249" spans="1:14" x14ac:dyDescent="0.3">
      <c r="A249" s="8">
        <v>1112</v>
      </c>
      <c r="B249" s="9" t="s">
        <v>713</v>
      </c>
      <c r="C249" s="9" t="s">
        <v>714</v>
      </c>
      <c r="D249" s="9" t="s">
        <v>5</v>
      </c>
      <c r="E249" s="9" t="s">
        <v>381</v>
      </c>
      <c r="F249" s="7">
        <v>41925</v>
      </c>
      <c r="G249" s="10">
        <v>5454</v>
      </c>
      <c r="H249" s="8">
        <v>651522678</v>
      </c>
      <c r="I249" s="9" t="s">
        <v>715</v>
      </c>
      <c r="J249" s="8">
        <v>95942</v>
      </c>
      <c r="K249" s="9" t="s">
        <v>129</v>
      </c>
      <c r="L249" s="9" t="s">
        <v>716</v>
      </c>
      <c r="M249" s="8">
        <v>2</v>
      </c>
      <c r="N249" s="9"/>
    </row>
    <row r="250" spans="1:14" x14ac:dyDescent="0.3">
      <c r="A250" s="8">
        <v>1113</v>
      </c>
      <c r="B250" s="9" t="s">
        <v>717</v>
      </c>
      <c r="C250" s="9" t="s">
        <v>718</v>
      </c>
      <c r="D250" s="9" t="s">
        <v>5</v>
      </c>
      <c r="E250" s="9" t="s">
        <v>390</v>
      </c>
      <c r="F250" s="7">
        <v>41356</v>
      </c>
      <c r="G250" s="10">
        <v>7525</v>
      </c>
      <c r="H250" s="8">
        <v>686297107</v>
      </c>
      <c r="I250" s="9" t="s">
        <v>719</v>
      </c>
      <c r="J250" s="8">
        <v>95421</v>
      </c>
      <c r="K250" s="9" t="s">
        <v>213</v>
      </c>
      <c r="L250" s="9" t="s">
        <v>720</v>
      </c>
      <c r="M250" s="8">
        <v>1</v>
      </c>
      <c r="N250" s="9"/>
    </row>
    <row r="251" spans="1:14" x14ac:dyDescent="0.3">
      <c r="A251" s="8">
        <v>1114</v>
      </c>
      <c r="B251" s="9" t="s">
        <v>721</v>
      </c>
      <c r="C251" s="9" t="s">
        <v>722</v>
      </c>
      <c r="D251" s="9" t="s">
        <v>5</v>
      </c>
      <c r="E251" s="9" t="s">
        <v>376</v>
      </c>
      <c r="F251" s="7">
        <v>42021</v>
      </c>
      <c r="G251" s="10">
        <v>5733</v>
      </c>
      <c r="H251" s="8">
        <v>613262648</v>
      </c>
      <c r="I251" s="9" t="s">
        <v>723</v>
      </c>
      <c r="J251" s="8">
        <v>91797</v>
      </c>
      <c r="K251" s="9" t="s">
        <v>168</v>
      </c>
      <c r="L251" s="9" t="s">
        <v>724</v>
      </c>
      <c r="M251" s="8">
        <v>3</v>
      </c>
      <c r="N251" s="9"/>
    </row>
    <row r="252" spans="1:14" x14ac:dyDescent="0.3">
      <c r="A252" s="8">
        <v>1115</v>
      </c>
      <c r="B252" s="9" t="s">
        <v>725</v>
      </c>
      <c r="C252" s="9" t="s">
        <v>726</v>
      </c>
      <c r="D252" s="9" t="s">
        <v>5</v>
      </c>
      <c r="E252" s="9" t="s">
        <v>390</v>
      </c>
      <c r="F252" s="7">
        <v>42440</v>
      </c>
      <c r="G252" s="10">
        <v>1842</v>
      </c>
      <c r="H252" s="8">
        <v>674938203</v>
      </c>
      <c r="I252" s="9" t="s">
        <v>727</v>
      </c>
      <c r="J252" s="8">
        <v>91186</v>
      </c>
      <c r="K252" s="9" t="s">
        <v>46</v>
      </c>
      <c r="L252" s="9" t="s">
        <v>728</v>
      </c>
      <c r="M252" s="8">
        <v>2</v>
      </c>
      <c r="N252" s="9"/>
    </row>
    <row r="253" spans="1:14" x14ac:dyDescent="0.3">
      <c r="A253" s="8">
        <v>1117</v>
      </c>
      <c r="B253" s="9" t="s">
        <v>733</v>
      </c>
      <c r="C253" s="9" t="s">
        <v>734</v>
      </c>
      <c r="D253" s="9" t="s">
        <v>5</v>
      </c>
      <c r="E253" s="9" t="s">
        <v>390</v>
      </c>
      <c r="F253" s="7">
        <v>43580</v>
      </c>
      <c r="G253" s="10">
        <v>7672</v>
      </c>
      <c r="H253" s="8">
        <v>683898774</v>
      </c>
      <c r="I253" s="9" t="s">
        <v>735</v>
      </c>
      <c r="J253" s="8">
        <v>93158</v>
      </c>
      <c r="K253" s="9" t="s">
        <v>368</v>
      </c>
      <c r="L253" s="9" t="s">
        <v>736</v>
      </c>
      <c r="M253" s="8">
        <v>2</v>
      </c>
      <c r="N253" s="9"/>
    </row>
    <row r="254" spans="1:14" x14ac:dyDescent="0.3">
      <c r="A254" s="8">
        <v>1120</v>
      </c>
      <c r="B254" s="9" t="s">
        <v>744</v>
      </c>
      <c r="C254" s="9" t="s">
        <v>745</v>
      </c>
      <c r="D254" s="9" t="s">
        <v>5</v>
      </c>
      <c r="E254" s="9" t="s">
        <v>376</v>
      </c>
      <c r="F254" s="7">
        <v>43871</v>
      </c>
      <c r="G254" s="10">
        <v>5451</v>
      </c>
      <c r="H254" s="8">
        <v>665532964</v>
      </c>
      <c r="I254" s="9" t="s">
        <v>746</v>
      </c>
      <c r="J254" s="8">
        <v>92361</v>
      </c>
      <c r="K254" s="9" t="s">
        <v>114</v>
      </c>
      <c r="L254" s="9" t="s">
        <v>747</v>
      </c>
      <c r="M254" s="8">
        <v>3</v>
      </c>
      <c r="N254" s="9"/>
    </row>
    <row r="255" spans="1:14" x14ac:dyDescent="0.3">
      <c r="A255" s="8">
        <v>1121</v>
      </c>
      <c r="B255" s="9" t="s">
        <v>748</v>
      </c>
      <c r="C255" s="9" t="s">
        <v>749</v>
      </c>
      <c r="D255" s="9" t="s">
        <v>5</v>
      </c>
      <c r="E255" s="9" t="s">
        <v>381</v>
      </c>
      <c r="F255" s="7">
        <v>40507</v>
      </c>
      <c r="G255" s="10">
        <v>5112</v>
      </c>
      <c r="H255" s="8">
        <v>612866889</v>
      </c>
      <c r="I255" s="9" t="s">
        <v>750</v>
      </c>
      <c r="J255" s="8">
        <v>94828</v>
      </c>
      <c r="K255" s="9" t="s">
        <v>52</v>
      </c>
      <c r="L255" s="9" t="s">
        <v>751</v>
      </c>
      <c r="M255" s="8">
        <v>2</v>
      </c>
      <c r="N255" s="9"/>
    </row>
    <row r="256" spans="1:14" x14ac:dyDescent="0.3">
      <c r="A256" s="8">
        <v>1122</v>
      </c>
      <c r="B256" s="9" t="s">
        <v>752</v>
      </c>
      <c r="C256" s="9" t="s">
        <v>753</v>
      </c>
      <c r="D256" s="9" t="s">
        <v>5</v>
      </c>
      <c r="E256" s="9" t="s">
        <v>381</v>
      </c>
      <c r="F256" s="7">
        <v>43560</v>
      </c>
      <c r="G256" s="10">
        <v>4954</v>
      </c>
      <c r="H256" s="8">
        <v>691793139</v>
      </c>
      <c r="I256" s="9" t="s">
        <v>754</v>
      </c>
      <c r="J256" s="8">
        <v>75174</v>
      </c>
      <c r="K256" s="9" t="s">
        <v>114</v>
      </c>
      <c r="L256" s="9" t="s">
        <v>755</v>
      </c>
      <c r="M256" s="8">
        <v>1</v>
      </c>
      <c r="N256" s="9"/>
    </row>
    <row r="257" spans="1:14" x14ac:dyDescent="0.3">
      <c r="A257" s="8">
        <v>1124</v>
      </c>
      <c r="B257" s="9" t="s">
        <v>760</v>
      </c>
      <c r="C257" s="9" t="s">
        <v>761</v>
      </c>
      <c r="D257" s="9" t="s">
        <v>5</v>
      </c>
      <c r="E257" s="9" t="s">
        <v>376</v>
      </c>
      <c r="F257" s="7">
        <v>41918</v>
      </c>
      <c r="G257" s="10">
        <v>6772</v>
      </c>
      <c r="H257" s="8">
        <v>686751239</v>
      </c>
      <c r="I257" s="9" t="s">
        <v>762</v>
      </c>
      <c r="J257" s="8">
        <v>94885</v>
      </c>
      <c r="K257" s="9" t="s">
        <v>213</v>
      </c>
      <c r="L257" s="9" t="s">
        <v>763</v>
      </c>
      <c r="M257" s="8">
        <v>2</v>
      </c>
      <c r="N257" s="9"/>
    </row>
    <row r="258" spans="1:14" x14ac:dyDescent="0.3">
      <c r="A258" s="8">
        <v>1125</v>
      </c>
      <c r="B258" s="9" t="s">
        <v>764</v>
      </c>
      <c r="C258" s="9" t="s">
        <v>765</v>
      </c>
      <c r="D258" s="9" t="s">
        <v>5</v>
      </c>
      <c r="E258" s="9" t="s">
        <v>381</v>
      </c>
      <c r="F258" s="7">
        <v>41278</v>
      </c>
      <c r="G258" s="10">
        <v>3031</v>
      </c>
      <c r="H258" s="8">
        <v>671132106</v>
      </c>
      <c r="I258" s="9" t="s">
        <v>766</v>
      </c>
      <c r="J258" s="8">
        <v>92332</v>
      </c>
      <c r="K258" s="9" t="s">
        <v>114</v>
      </c>
      <c r="L258" s="9" t="s">
        <v>767</v>
      </c>
      <c r="M258" s="8">
        <v>1</v>
      </c>
      <c r="N258" s="9"/>
    </row>
    <row r="259" spans="1:14" x14ac:dyDescent="0.3">
      <c r="A259" s="8">
        <v>1127</v>
      </c>
      <c r="B259" s="9" t="s">
        <v>772</v>
      </c>
      <c r="C259" s="9" t="s">
        <v>773</v>
      </c>
      <c r="D259" s="9" t="s">
        <v>5</v>
      </c>
      <c r="E259" s="9" t="s">
        <v>390</v>
      </c>
      <c r="F259" s="7">
        <v>41604</v>
      </c>
      <c r="G259" s="10">
        <v>2429</v>
      </c>
      <c r="H259" s="8">
        <v>617687174</v>
      </c>
      <c r="I259" s="9" t="s">
        <v>774</v>
      </c>
      <c r="J259" s="8">
        <v>92548</v>
      </c>
      <c r="K259" s="9" t="s">
        <v>213</v>
      </c>
      <c r="L259" s="9" t="s">
        <v>775</v>
      </c>
      <c r="M259" s="8">
        <v>1</v>
      </c>
      <c r="N259" s="9"/>
    </row>
    <row r="260" spans="1:14" x14ac:dyDescent="0.3">
      <c r="A260" s="8">
        <v>1129</v>
      </c>
      <c r="B260" s="9" t="s">
        <v>780</v>
      </c>
      <c r="C260" s="9" t="s">
        <v>781</v>
      </c>
      <c r="D260" s="9" t="s">
        <v>5</v>
      </c>
      <c r="E260" s="9" t="s">
        <v>381</v>
      </c>
      <c r="F260" s="7">
        <v>43028</v>
      </c>
      <c r="G260" s="10">
        <v>3722</v>
      </c>
      <c r="H260" s="8">
        <v>610173117</v>
      </c>
      <c r="I260" s="9" t="s">
        <v>782</v>
      </c>
      <c r="J260" s="8">
        <v>91508</v>
      </c>
      <c r="K260" s="9" t="s">
        <v>32</v>
      </c>
      <c r="L260" s="9" t="s">
        <v>783</v>
      </c>
      <c r="M260" s="8">
        <v>2</v>
      </c>
      <c r="N260" s="9"/>
    </row>
    <row r="261" spans="1:14" x14ac:dyDescent="0.3">
      <c r="A261" s="8">
        <v>1130</v>
      </c>
      <c r="B261" s="9" t="s">
        <v>784</v>
      </c>
      <c r="C261" s="9" t="s">
        <v>785</v>
      </c>
      <c r="D261" s="9" t="s">
        <v>5</v>
      </c>
      <c r="E261" s="9" t="s">
        <v>407</v>
      </c>
      <c r="F261" s="7">
        <v>43381</v>
      </c>
      <c r="G261" s="10">
        <v>3777</v>
      </c>
      <c r="H261" s="8">
        <v>687475090</v>
      </c>
      <c r="I261" s="9" t="s">
        <v>786</v>
      </c>
      <c r="J261" s="8">
        <v>95225</v>
      </c>
      <c r="K261" s="9" t="s">
        <v>77</v>
      </c>
      <c r="L261" s="9" t="s">
        <v>787</v>
      </c>
      <c r="M261" s="8">
        <v>1</v>
      </c>
      <c r="N261" s="9"/>
    </row>
    <row r="262" spans="1:14" x14ac:dyDescent="0.3">
      <c r="A262" s="8">
        <v>1132</v>
      </c>
      <c r="B262" s="9" t="s">
        <v>792</v>
      </c>
      <c r="C262" s="9" t="s">
        <v>793</v>
      </c>
      <c r="D262" s="9" t="s">
        <v>5</v>
      </c>
      <c r="E262" s="9" t="s">
        <v>407</v>
      </c>
      <c r="F262" s="7">
        <v>44177</v>
      </c>
      <c r="G262" s="10">
        <v>1240</v>
      </c>
      <c r="H262" s="8">
        <v>693158997</v>
      </c>
      <c r="I262" s="9" t="s">
        <v>794</v>
      </c>
      <c r="J262" s="8">
        <v>95689</v>
      </c>
      <c r="K262" s="9" t="s">
        <v>39</v>
      </c>
      <c r="L262" s="9" t="s">
        <v>795</v>
      </c>
      <c r="M262" s="8">
        <v>2</v>
      </c>
      <c r="N262" s="9"/>
    </row>
    <row r="263" spans="1:14" x14ac:dyDescent="0.3">
      <c r="A263" s="8">
        <v>1134</v>
      </c>
      <c r="B263" s="9" t="s">
        <v>800</v>
      </c>
      <c r="C263" s="9" t="s">
        <v>801</v>
      </c>
      <c r="D263" s="9" t="s">
        <v>5</v>
      </c>
      <c r="E263" s="9" t="s">
        <v>376</v>
      </c>
      <c r="F263" s="7">
        <v>43338</v>
      </c>
      <c r="G263" s="10">
        <v>7452</v>
      </c>
      <c r="H263" s="8">
        <v>633409786</v>
      </c>
      <c r="I263" s="9" t="s">
        <v>802</v>
      </c>
      <c r="J263" s="8">
        <v>93678</v>
      </c>
      <c r="K263" s="9" t="s">
        <v>269</v>
      </c>
      <c r="L263" s="9" t="s">
        <v>803</v>
      </c>
      <c r="M263" s="8">
        <v>2</v>
      </c>
      <c r="N263" s="9"/>
    </row>
    <row r="264" spans="1:14" x14ac:dyDescent="0.3">
      <c r="A264" s="8">
        <v>1136</v>
      </c>
      <c r="B264" s="9" t="s">
        <v>807</v>
      </c>
      <c r="C264" s="9" t="s">
        <v>808</v>
      </c>
      <c r="D264" s="9" t="s">
        <v>5</v>
      </c>
      <c r="E264" s="9" t="s">
        <v>376</v>
      </c>
      <c r="F264" s="7">
        <v>43663</v>
      </c>
      <c r="G264" s="10">
        <v>3931</v>
      </c>
      <c r="H264" s="8">
        <v>688071065</v>
      </c>
      <c r="I264" s="9" t="s">
        <v>809</v>
      </c>
      <c r="J264" s="8">
        <v>93720</v>
      </c>
      <c r="K264" s="9" t="s">
        <v>168</v>
      </c>
      <c r="L264" s="9" t="s">
        <v>810</v>
      </c>
      <c r="M264" s="8">
        <v>3</v>
      </c>
      <c r="N264" s="9"/>
    </row>
    <row r="265" spans="1:14" x14ac:dyDescent="0.3">
      <c r="A265" s="8">
        <v>1137</v>
      </c>
      <c r="B265" s="9" t="s">
        <v>811</v>
      </c>
      <c r="C265" s="9" t="s">
        <v>812</v>
      </c>
      <c r="D265" s="9" t="s">
        <v>5</v>
      </c>
      <c r="E265" s="9" t="s">
        <v>376</v>
      </c>
      <c r="F265" s="7">
        <v>41063</v>
      </c>
      <c r="G265" s="10">
        <v>6211</v>
      </c>
      <c r="H265" s="8">
        <v>641613554</v>
      </c>
      <c r="I265" s="9" t="s">
        <v>813</v>
      </c>
      <c r="J265" s="8">
        <v>92136</v>
      </c>
      <c r="K265" s="9" t="s">
        <v>32</v>
      </c>
      <c r="L265" s="9" t="s">
        <v>814</v>
      </c>
      <c r="M265" s="8">
        <v>2</v>
      </c>
      <c r="N265" s="9"/>
    </row>
    <row r="266" spans="1:14" x14ac:dyDescent="0.3">
      <c r="A266" s="8">
        <v>1138</v>
      </c>
      <c r="B266" s="9" t="s">
        <v>815</v>
      </c>
      <c r="C266" s="9" t="s">
        <v>816</v>
      </c>
      <c r="D266" s="9" t="s">
        <v>5</v>
      </c>
      <c r="E266" s="9" t="s">
        <v>390</v>
      </c>
      <c r="F266" s="7">
        <v>43654</v>
      </c>
      <c r="G266" s="10">
        <v>6578</v>
      </c>
      <c r="H266" s="8">
        <v>645030137</v>
      </c>
      <c r="I266" s="9" t="s">
        <v>817</v>
      </c>
      <c r="J266" s="8">
        <v>94315</v>
      </c>
      <c r="K266" s="9" t="s">
        <v>288</v>
      </c>
      <c r="L266" s="9" t="s">
        <v>818</v>
      </c>
      <c r="M266" s="8">
        <v>1</v>
      </c>
      <c r="N266" s="9"/>
    </row>
    <row r="267" spans="1:14" x14ac:dyDescent="0.3">
      <c r="A267" s="8">
        <v>1140</v>
      </c>
      <c r="B267" s="9" t="s">
        <v>823</v>
      </c>
      <c r="C267" s="9" t="s">
        <v>824</v>
      </c>
      <c r="D267" s="9" t="s">
        <v>5</v>
      </c>
      <c r="E267" s="9" t="s">
        <v>390</v>
      </c>
      <c r="F267" s="7">
        <v>42371</v>
      </c>
      <c r="G267" s="10">
        <v>1353</v>
      </c>
      <c r="H267" s="8">
        <v>670170609</v>
      </c>
      <c r="I267" s="9" t="s">
        <v>825</v>
      </c>
      <c r="J267" s="8">
        <v>75192</v>
      </c>
      <c r="K267" s="9" t="s">
        <v>58</v>
      </c>
      <c r="L267" s="9" t="s">
        <v>826</v>
      </c>
      <c r="M267" s="8">
        <v>1</v>
      </c>
      <c r="N267" s="9"/>
    </row>
    <row r="268" spans="1:14" x14ac:dyDescent="0.3">
      <c r="A268" s="8">
        <v>1142</v>
      </c>
      <c r="B268" s="9" t="s">
        <v>831</v>
      </c>
      <c r="C268" s="9" t="s">
        <v>832</v>
      </c>
      <c r="D268" s="9" t="s">
        <v>5</v>
      </c>
      <c r="E268" s="9" t="s">
        <v>381</v>
      </c>
      <c r="F268" s="7">
        <v>40710</v>
      </c>
      <c r="G268" s="10">
        <v>6842</v>
      </c>
      <c r="H268" s="8">
        <v>641799583</v>
      </c>
      <c r="I268" s="9" t="s">
        <v>833</v>
      </c>
      <c r="J268" s="8">
        <v>75817</v>
      </c>
      <c r="K268" s="9" t="s">
        <v>124</v>
      </c>
      <c r="L268" s="9" t="s">
        <v>834</v>
      </c>
      <c r="M268" s="8">
        <v>2</v>
      </c>
      <c r="N268" s="9"/>
    </row>
    <row r="269" spans="1:14" x14ac:dyDescent="0.3">
      <c r="A269" s="8">
        <v>1143</v>
      </c>
      <c r="B269" s="9" t="s">
        <v>835</v>
      </c>
      <c r="C269" s="9" t="s">
        <v>836</v>
      </c>
      <c r="D269" s="9" t="s">
        <v>5</v>
      </c>
      <c r="E269" s="9" t="s">
        <v>390</v>
      </c>
      <c r="F269" s="7">
        <v>41421</v>
      </c>
      <c r="G269" s="10">
        <v>3930</v>
      </c>
      <c r="H269" s="8">
        <v>658315591</v>
      </c>
      <c r="I269" s="9" t="s">
        <v>837</v>
      </c>
      <c r="J269" s="8">
        <v>95198</v>
      </c>
      <c r="K269" s="9" t="s">
        <v>89</v>
      </c>
      <c r="L269" s="9" t="s">
        <v>838</v>
      </c>
      <c r="M269" s="8">
        <v>3</v>
      </c>
      <c r="N269" s="9"/>
    </row>
    <row r="270" spans="1:14" x14ac:dyDescent="0.3">
      <c r="A270" s="8">
        <v>1144</v>
      </c>
      <c r="B270" s="9" t="s">
        <v>839</v>
      </c>
      <c r="C270" s="9" t="s">
        <v>840</v>
      </c>
      <c r="D270" s="9" t="s">
        <v>5</v>
      </c>
      <c r="E270" s="9" t="s">
        <v>390</v>
      </c>
      <c r="F270" s="7">
        <v>42073</v>
      </c>
      <c r="G270" s="10">
        <v>2271</v>
      </c>
      <c r="H270" s="8">
        <v>659106094</v>
      </c>
      <c r="I270" s="9" t="s">
        <v>841</v>
      </c>
      <c r="J270" s="8">
        <v>91463</v>
      </c>
      <c r="K270" s="9" t="s">
        <v>269</v>
      </c>
      <c r="L270" s="9" t="s">
        <v>842</v>
      </c>
      <c r="M270" s="8">
        <v>1</v>
      </c>
      <c r="N270" s="9"/>
    </row>
    <row r="271" spans="1:14" x14ac:dyDescent="0.3">
      <c r="A271" s="8">
        <v>1145</v>
      </c>
      <c r="B271" s="9" t="s">
        <v>843</v>
      </c>
      <c r="C271" s="9" t="s">
        <v>844</v>
      </c>
      <c r="D271" s="9" t="s">
        <v>5</v>
      </c>
      <c r="E271" s="9" t="s">
        <v>407</v>
      </c>
      <c r="F271" s="7">
        <v>43441</v>
      </c>
      <c r="G271" s="10">
        <v>5674</v>
      </c>
      <c r="H271" s="8">
        <v>695174902</v>
      </c>
      <c r="I271" s="9" t="s">
        <v>845</v>
      </c>
      <c r="J271" s="8">
        <v>91720</v>
      </c>
      <c r="K271" s="9" t="s">
        <v>288</v>
      </c>
      <c r="L271" s="9" t="s">
        <v>846</v>
      </c>
      <c r="M271" s="8">
        <v>3</v>
      </c>
      <c r="N271" s="9"/>
    </row>
    <row r="272" spans="1:14" x14ac:dyDescent="0.3">
      <c r="A272" s="8">
        <v>1149</v>
      </c>
      <c r="B272" s="9" t="s">
        <v>859</v>
      </c>
      <c r="C272" s="9" t="s">
        <v>860</v>
      </c>
      <c r="D272" s="9" t="s">
        <v>5</v>
      </c>
      <c r="E272" s="9" t="s">
        <v>407</v>
      </c>
      <c r="F272" s="7">
        <v>41688</v>
      </c>
      <c r="G272" s="10">
        <v>3023</v>
      </c>
      <c r="H272" s="8">
        <v>655518200</v>
      </c>
      <c r="I272" s="9" t="s">
        <v>861</v>
      </c>
      <c r="J272" s="8">
        <v>95503</v>
      </c>
      <c r="K272" s="9" t="s">
        <v>39</v>
      </c>
      <c r="L272" s="9" t="s">
        <v>862</v>
      </c>
      <c r="M272" s="8">
        <v>1</v>
      </c>
      <c r="N272" s="9"/>
    </row>
    <row r="273" spans="1:14" x14ac:dyDescent="0.3">
      <c r="A273" s="8">
        <v>1150</v>
      </c>
      <c r="B273" s="9" t="s">
        <v>863</v>
      </c>
      <c r="C273" s="9" t="s">
        <v>864</v>
      </c>
      <c r="D273" s="9" t="s">
        <v>5</v>
      </c>
      <c r="E273" s="9" t="s">
        <v>407</v>
      </c>
      <c r="F273" s="7">
        <v>43973</v>
      </c>
      <c r="G273" s="10">
        <v>7510</v>
      </c>
      <c r="H273" s="8">
        <v>617240484</v>
      </c>
      <c r="I273" s="9" t="s">
        <v>865</v>
      </c>
      <c r="J273" s="8">
        <v>92122</v>
      </c>
      <c r="K273" s="9" t="s">
        <v>168</v>
      </c>
      <c r="L273" s="9" t="s">
        <v>866</v>
      </c>
      <c r="M273" s="8">
        <v>1</v>
      </c>
      <c r="N273" s="9"/>
    </row>
    <row r="274" spans="1:14" x14ac:dyDescent="0.3">
      <c r="A274" s="8">
        <v>1151</v>
      </c>
      <c r="B274" s="9" t="s">
        <v>867</v>
      </c>
      <c r="C274" s="9" t="s">
        <v>868</v>
      </c>
      <c r="D274" s="9" t="s">
        <v>5</v>
      </c>
      <c r="E274" s="9" t="s">
        <v>376</v>
      </c>
      <c r="F274" s="7">
        <v>42181</v>
      </c>
      <c r="G274" s="10">
        <v>3797</v>
      </c>
      <c r="H274" s="8">
        <v>663725366</v>
      </c>
      <c r="I274" s="9" t="s">
        <v>869</v>
      </c>
      <c r="J274" s="8">
        <v>93983</v>
      </c>
      <c r="K274" s="9" t="s">
        <v>109</v>
      </c>
      <c r="L274" s="9" t="s">
        <v>870</v>
      </c>
      <c r="M274" s="8">
        <v>2</v>
      </c>
      <c r="N274" s="9"/>
    </row>
    <row r="275" spans="1:14" x14ac:dyDescent="0.3">
      <c r="A275" s="8">
        <v>1152</v>
      </c>
      <c r="B275" s="9" t="s">
        <v>871</v>
      </c>
      <c r="C275" s="9" t="s">
        <v>872</v>
      </c>
      <c r="D275" s="9" t="s">
        <v>5</v>
      </c>
      <c r="E275" s="9" t="s">
        <v>390</v>
      </c>
      <c r="F275" s="7">
        <v>43046</v>
      </c>
      <c r="G275" s="10">
        <v>7822</v>
      </c>
      <c r="H275" s="8">
        <v>669754583</v>
      </c>
      <c r="I275" s="9" t="s">
        <v>873</v>
      </c>
      <c r="J275" s="8">
        <v>75113</v>
      </c>
      <c r="K275" s="9" t="s">
        <v>168</v>
      </c>
      <c r="L275" s="9" t="s">
        <v>874</v>
      </c>
      <c r="M275" s="8">
        <v>2</v>
      </c>
      <c r="N275" s="9"/>
    </row>
    <row r="276" spans="1:14" x14ac:dyDescent="0.3">
      <c r="A276" s="8">
        <v>1153</v>
      </c>
      <c r="B276" s="9" t="s">
        <v>875</v>
      </c>
      <c r="C276" s="9" t="s">
        <v>876</v>
      </c>
      <c r="D276" s="9" t="s">
        <v>5</v>
      </c>
      <c r="E276" s="9" t="s">
        <v>381</v>
      </c>
      <c r="F276" s="7">
        <v>43927</v>
      </c>
      <c r="G276" s="10">
        <v>5769</v>
      </c>
      <c r="H276" s="8">
        <v>679498560</v>
      </c>
      <c r="I276" s="9" t="s">
        <v>877</v>
      </c>
      <c r="J276" s="8">
        <v>95638</v>
      </c>
      <c r="K276" s="9" t="s">
        <v>168</v>
      </c>
      <c r="L276" s="9" t="s">
        <v>878</v>
      </c>
      <c r="M276" s="8">
        <v>1</v>
      </c>
      <c r="N276" s="9"/>
    </row>
    <row r="277" spans="1:14" x14ac:dyDescent="0.3">
      <c r="A277" s="8">
        <v>1154</v>
      </c>
      <c r="B277" s="9" t="s">
        <v>166</v>
      </c>
      <c r="C277" s="9" t="s">
        <v>879</v>
      </c>
      <c r="D277" s="9" t="s">
        <v>5</v>
      </c>
      <c r="E277" s="9" t="s">
        <v>381</v>
      </c>
      <c r="F277" s="7">
        <v>41288</v>
      </c>
      <c r="G277" s="10">
        <v>5776</v>
      </c>
      <c r="H277" s="8">
        <v>684903644</v>
      </c>
      <c r="I277" s="9" t="s">
        <v>880</v>
      </c>
      <c r="J277" s="8">
        <v>78688</v>
      </c>
      <c r="K277" s="9" t="s">
        <v>213</v>
      </c>
      <c r="L277" s="9" t="s">
        <v>881</v>
      </c>
      <c r="M277" s="8">
        <v>2</v>
      </c>
      <c r="N277" s="9"/>
    </row>
    <row r="278" spans="1:14" x14ac:dyDescent="0.3">
      <c r="A278" s="8">
        <v>1155</v>
      </c>
      <c r="B278" s="9" t="s">
        <v>882</v>
      </c>
      <c r="C278" s="9" t="s">
        <v>883</v>
      </c>
      <c r="D278" s="9" t="s">
        <v>5</v>
      </c>
      <c r="E278" s="9" t="s">
        <v>390</v>
      </c>
      <c r="F278" s="7">
        <v>41045</v>
      </c>
      <c r="G278" s="10">
        <v>3597</v>
      </c>
      <c r="H278" s="8">
        <v>686740612</v>
      </c>
      <c r="I278" s="9" t="s">
        <v>884</v>
      </c>
      <c r="J278" s="8">
        <v>78229</v>
      </c>
      <c r="K278" s="9" t="s">
        <v>582</v>
      </c>
      <c r="L278" s="9" t="s">
        <v>885</v>
      </c>
      <c r="M278" s="8">
        <v>1</v>
      </c>
      <c r="N278" s="9"/>
    </row>
    <row r="279" spans="1:14" x14ac:dyDescent="0.3">
      <c r="A279" s="8">
        <v>1158</v>
      </c>
      <c r="B279" s="9" t="s">
        <v>894</v>
      </c>
      <c r="C279" s="9" t="s">
        <v>895</v>
      </c>
      <c r="D279" s="9" t="s">
        <v>5</v>
      </c>
      <c r="E279" s="9" t="s">
        <v>390</v>
      </c>
      <c r="F279" s="7">
        <v>42016</v>
      </c>
      <c r="G279" s="10">
        <v>1455</v>
      </c>
      <c r="H279" s="8">
        <v>639870303</v>
      </c>
      <c r="I279" s="9" t="s">
        <v>896</v>
      </c>
      <c r="J279" s="8">
        <v>92590</v>
      </c>
      <c r="K279" s="9" t="s">
        <v>194</v>
      </c>
      <c r="L279" s="9" t="s">
        <v>897</v>
      </c>
      <c r="M279" s="8">
        <v>3</v>
      </c>
      <c r="N279" s="9"/>
    </row>
    <row r="280" spans="1:14" x14ac:dyDescent="0.3">
      <c r="A280" s="8">
        <v>1159</v>
      </c>
      <c r="B280" s="9" t="s">
        <v>898</v>
      </c>
      <c r="C280" s="9" t="s">
        <v>899</v>
      </c>
      <c r="D280" s="9" t="s">
        <v>5</v>
      </c>
      <c r="E280" s="9" t="s">
        <v>381</v>
      </c>
      <c r="F280" s="7">
        <v>40981</v>
      </c>
      <c r="G280" s="10">
        <v>6613</v>
      </c>
      <c r="H280" s="8">
        <v>662212375</v>
      </c>
      <c r="I280" s="9" t="s">
        <v>900</v>
      </c>
      <c r="J280" s="8">
        <v>92152</v>
      </c>
      <c r="K280" s="9" t="s">
        <v>288</v>
      </c>
      <c r="L280" s="9" t="s">
        <v>901</v>
      </c>
      <c r="M280" s="8">
        <v>1</v>
      </c>
      <c r="N280" s="9"/>
    </row>
    <row r="281" spans="1:14" x14ac:dyDescent="0.3">
      <c r="A281" s="8">
        <v>1164</v>
      </c>
      <c r="B281" s="9" t="s">
        <v>918</v>
      </c>
      <c r="C281" s="9" t="s">
        <v>919</v>
      </c>
      <c r="D281" s="9" t="s">
        <v>5</v>
      </c>
      <c r="E281" s="9" t="s">
        <v>381</v>
      </c>
      <c r="F281" s="7">
        <v>42603</v>
      </c>
      <c r="G281" s="10">
        <v>3910</v>
      </c>
      <c r="H281" s="8">
        <v>617997118</v>
      </c>
      <c r="I281" s="9" t="s">
        <v>920</v>
      </c>
      <c r="J281" s="8">
        <v>91409</v>
      </c>
      <c r="K281" s="9" t="s">
        <v>477</v>
      </c>
      <c r="L281" s="9" t="s">
        <v>921</v>
      </c>
      <c r="M281" s="8">
        <v>2</v>
      </c>
      <c r="N281" s="9"/>
    </row>
    <row r="282" spans="1:14" x14ac:dyDescent="0.3">
      <c r="A282" s="8">
        <v>1165</v>
      </c>
      <c r="B282" s="9" t="s">
        <v>922</v>
      </c>
      <c r="C282" s="9" t="s">
        <v>923</v>
      </c>
      <c r="D282" s="9" t="s">
        <v>5</v>
      </c>
      <c r="E282" s="9" t="s">
        <v>407</v>
      </c>
      <c r="F282" s="7">
        <v>40385</v>
      </c>
      <c r="G282" s="10">
        <v>4945</v>
      </c>
      <c r="H282" s="8">
        <v>696445061</v>
      </c>
      <c r="I282" s="9" t="s">
        <v>924</v>
      </c>
      <c r="J282" s="8">
        <v>93762</v>
      </c>
      <c r="K282" s="9" t="s">
        <v>189</v>
      </c>
      <c r="L282" s="9" t="s">
        <v>925</v>
      </c>
      <c r="M282" s="8">
        <v>3</v>
      </c>
      <c r="N282" s="9"/>
    </row>
    <row r="283" spans="1:14" x14ac:dyDescent="0.3">
      <c r="A283" s="8">
        <v>1167</v>
      </c>
      <c r="B283" s="9" t="s">
        <v>930</v>
      </c>
      <c r="C283" s="9" t="s">
        <v>931</v>
      </c>
      <c r="D283" s="9" t="s">
        <v>5</v>
      </c>
      <c r="E283" s="9" t="s">
        <v>376</v>
      </c>
      <c r="F283" s="7">
        <v>40559</v>
      </c>
      <c r="G283" s="10">
        <v>3143</v>
      </c>
      <c r="H283" s="8">
        <v>688795400</v>
      </c>
      <c r="I283" s="9" t="s">
        <v>932</v>
      </c>
      <c r="J283" s="8">
        <v>75578</v>
      </c>
      <c r="K283" s="9" t="s">
        <v>25</v>
      </c>
      <c r="L283" s="9" t="s">
        <v>933</v>
      </c>
      <c r="M283" s="8">
        <v>2</v>
      </c>
      <c r="N283" s="9"/>
    </row>
    <row r="284" spans="1:14" x14ac:dyDescent="0.3">
      <c r="A284" s="8">
        <v>1168</v>
      </c>
      <c r="B284" s="9" t="s">
        <v>934</v>
      </c>
      <c r="C284" s="9" t="s">
        <v>741</v>
      </c>
      <c r="D284" s="9" t="s">
        <v>5</v>
      </c>
      <c r="E284" s="9" t="s">
        <v>390</v>
      </c>
      <c r="F284" s="7">
        <v>42549</v>
      </c>
      <c r="G284" s="10">
        <v>4637</v>
      </c>
      <c r="H284" s="8">
        <v>636932615</v>
      </c>
      <c r="I284" s="9" t="s">
        <v>935</v>
      </c>
      <c r="J284" s="8">
        <v>93477</v>
      </c>
      <c r="K284" s="9" t="s">
        <v>208</v>
      </c>
      <c r="L284" s="9" t="s">
        <v>936</v>
      </c>
      <c r="M284" s="8">
        <v>3</v>
      </c>
      <c r="N284" s="9"/>
    </row>
    <row r="285" spans="1:14" x14ac:dyDescent="0.3">
      <c r="A285" s="8">
        <v>1170</v>
      </c>
      <c r="B285" s="9" t="s">
        <v>937</v>
      </c>
      <c r="C285" s="9" t="s">
        <v>938</v>
      </c>
      <c r="D285" s="9" t="s">
        <v>5</v>
      </c>
      <c r="E285" s="9" t="s">
        <v>381</v>
      </c>
      <c r="F285" s="7">
        <v>40367</v>
      </c>
      <c r="G285" s="10">
        <v>3055</v>
      </c>
      <c r="H285" s="8">
        <v>641370494</v>
      </c>
      <c r="I285" s="9" t="s">
        <v>939</v>
      </c>
      <c r="J285" s="8">
        <v>95473</v>
      </c>
      <c r="K285" s="9" t="s">
        <v>65</v>
      </c>
      <c r="L285" s="9" t="s">
        <v>940</v>
      </c>
      <c r="M285" s="8">
        <v>1</v>
      </c>
      <c r="N285" s="9"/>
    </row>
    <row r="286" spans="1:14" x14ac:dyDescent="0.3">
      <c r="A286" s="8">
        <v>1174</v>
      </c>
      <c r="B286" s="9" t="s">
        <v>2745</v>
      </c>
      <c r="C286" s="9" t="s">
        <v>2746</v>
      </c>
      <c r="D286" s="9" t="s">
        <v>5</v>
      </c>
      <c r="E286" s="9" t="s">
        <v>407</v>
      </c>
      <c r="F286" s="7">
        <v>44157</v>
      </c>
      <c r="G286" s="10">
        <v>4000</v>
      </c>
      <c r="H286" s="8">
        <v>672879838</v>
      </c>
      <c r="I286" s="9" t="s">
        <v>2747</v>
      </c>
      <c r="J286" s="8" t="s">
        <v>582</v>
      </c>
      <c r="K286" s="9">
        <v>75007</v>
      </c>
      <c r="L286" s="9" t="s">
        <v>2748</v>
      </c>
      <c r="M286" s="8">
        <v>2</v>
      </c>
      <c r="N286" s="9"/>
    </row>
    <row r="287" spans="1:14" x14ac:dyDescent="0.3">
      <c r="A287" s="8">
        <v>1175</v>
      </c>
      <c r="B287" s="9" t="s">
        <v>2788</v>
      </c>
      <c r="C287" s="9" t="s">
        <v>2789</v>
      </c>
      <c r="D287" s="9" t="s">
        <v>22</v>
      </c>
      <c r="E287" s="9" t="s">
        <v>37</v>
      </c>
      <c r="F287" s="7">
        <v>44182</v>
      </c>
      <c r="G287" s="10">
        <v>6666</v>
      </c>
      <c r="H287" s="8">
        <v>40404040404</v>
      </c>
      <c r="I287" s="9" t="s">
        <v>2790</v>
      </c>
      <c r="J287" s="8">
        <v>92800</v>
      </c>
      <c r="K287" s="9" t="s">
        <v>168</v>
      </c>
      <c r="L287" s="9" t="s">
        <v>2791</v>
      </c>
      <c r="M287" s="8">
        <v>1</v>
      </c>
      <c r="N287" s="9">
        <v>46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1"/>
  <dimension ref="A1:K190"/>
  <sheetViews>
    <sheetView workbookViewId="0">
      <pane ySplit="1" topLeftCell="A2" activePane="bottomLeft" state="frozen"/>
      <selection pane="bottomLeft" activeCell="G53" sqref="G53"/>
    </sheetView>
  </sheetViews>
  <sheetFormatPr baseColWidth="10" defaultRowHeight="14.4" x14ac:dyDescent="0.3"/>
  <cols>
    <col min="1" max="1" width="18.6640625" bestFit="1" customWidth="1"/>
    <col min="2" max="2" width="21.33203125" bestFit="1" customWidth="1"/>
    <col min="3" max="3" width="12.6640625" bestFit="1" customWidth="1"/>
    <col min="4" max="4" width="16.44140625" bestFit="1" customWidth="1"/>
    <col min="5" max="6" width="14.33203125" bestFit="1" customWidth="1"/>
    <col min="7" max="7" width="16.5546875" bestFit="1" customWidth="1"/>
    <col min="8" max="8" width="26.6640625" bestFit="1" customWidth="1"/>
    <col min="9" max="9" width="24.33203125" bestFit="1" customWidth="1"/>
    <col min="10" max="11" width="17.33203125" bestFit="1" customWidth="1"/>
  </cols>
  <sheetData>
    <row r="1" spans="1:11" x14ac:dyDescent="0.3">
      <c r="A1" s="8" t="s">
        <v>2716</v>
      </c>
      <c r="B1" s="8" t="s">
        <v>2717</v>
      </c>
      <c r="C1" s="8" t="s">
        <v>2718</v>
      </c>
      <c r="D1" s="8" t="s">
        <v>2719</v>
      </c>
      <c r="E1" s="8" t="s">
        <v>2720</v>
      </c>
      <c r="F1" s="8" t="s">
        <v>964</v>
      </c>
      <c r="G1" s="8" t="s">
        <v>7</v>
      </c>
      <c r="H1" s="8" t="s">
        <v>2743</v>
      </c>
      <c r="I1" s="8" t="s">
        <v>2744</v>
      </c>
      <c r="J1" s="8" t="s">
        <v>6</v>
      </c>
      <c r="K1" s="8" t="s">
        <v>2751</v>
      </c>
    </row>
    <row r="2" spans="1:11" x14ac:dyDescent="0.3">
      <c r="A2" s="8">
        <v>1</v>
      </c>
      <c r="B2" s="9" t="s">
        <v>2733</v>
      </c>
      <c r="C2" s="10">
        <v>97</v>
      </c>
      <c r="D2" s="9" t="s">
        <v>2722</v>
      </c>
      <c r="E2" s="9"/>
      <c r="F2" s="8">
        <v>495</v>
      </c>
      <c r="G2" s="8">
        <v>982</v>
      </c>
      <c r="H2" s="8" t="str">
        <f>VLOOKUP(consultation[[#This Row],[ID_personnel]],personnel_1[],2,FALSE)&amp;" "&amp;VLOOKUP(consultation[[#This Row],[ID_personnel]],personnel_1[],3,FALSE)</f>
        <v>Sancho Christophe</v>
      </c>
      <c r="I2" s="9" t="str">
        <f>VLOOKUP(consultation[[#This Row],[ID_patient]],patient[],2,FALSE)&amp;" "&amp;VLOOKUP(consultation[[#This Row],[ID_patient]],patient[],3,FALSE)</f>
        <v>Briar Naum</v>
      </c>
      <c r="J2" s="9">
        <f>VLOOKUP(consultation[[#This Row],[ID_patient]],patient[],16,FALSE)</f>
        <v>1</v>
      </c>
      <c r="K2" s="9" t="str">
        <f>VLOOKUP(consultation[[#This Row],[ID_personnel]],personnel_1[],14,FALSE)</f>
        <v>68</v>
      </c>
    </row>
    <row r="3" spans="1:11" x14ac:dyDescent="0.3">
      <c r="A3" s="8">
        <v>2</v>
      </c>
      <c r="B3" s="9" t="s">
        <v>2733</v>
      </c>
      <c r="C3" s="10">
        <v>238</v>
      </c>
      <c r="D3" s="9" t="s">
        <v>2723</v>
      </c>
      <c r="E3" s="9"/>
      <c r="F3" s="8">
        <v>478</v>
      </c>
      <c r="G3" s="8">
        <v>889</v>
      </c>
      <c r="H3" s="8" t="str">
        <f>VLOOKUP(consultation[[#This Row],[ID_personnel]],personnel_1[],2,FALSE)&amp;" "&amp;VLOOKUP(consultation[[#This Row],[ID_personnel]],personnel_1[],3,FALSE)</f>
        <v>Gry Steenie</v>
      </c>
      <c r="I3" s="9" t="str">
        <f>VLOOKUP(consultation[[#This Row],[ID_patient]],patient[],2,FALSE)&amp;" "&amp;VLOOKUP(consultation[[#This Row],[ID_patient]],patient[],3,FALSE)</f>
        <v>Dana (2) Orrell</v>
      </c>
      <c r="J3" s="9">
        <f>VLOOKUP(consultation[[#This Row],[ID_patient]],patient[],16,FALSE)</f>
        <v>1</v>
      </c>
      <c r="K3" s="9" t="str">
        <f>VLOOKUP(consultation[[#This Row],[ID_personnel]],personnel_1[],14,FALSE)</f>
        <v>64</v>
      </c>
    </row>
    <row r="4" spans="1:11" x14ac:dyDescent="0.3">
      <c r="A4" s="8">
        <v>3</v>
      </c>
      <c r="B4" s="9" t="s">
        <v>2724</v>
      </c>
      <c r="C4" s="10">
        <v>129</v>
      </c>
      <c r="D4" s="9" t="s">
        <v>2725</v>
      </c>
      <c r="E4" s="9"/>
      <c r="F4" s="8">
        <v>572</v>
      </c>
      <c r="G4" s="8">
        <v>997</v>
      </c>
      <c r="H4" s="8" t="str">
        <f>VLOOKUP(consultation[[#This Row],[ID_personnel]],personnel_1[],2,FALSE)&amp;" "&amp;VLOOKUP(consultation[[#This Row],[ID_personnel]],personnel_1[],3,FALSE)</f>
        <v>Bailey Greet</v>
      </c>
      <c r="I4" s="9" t="str">
        <f>VLOOKUP(consultation[[#This Row],[ID_patient]],patient[],2,FALSE)&amp;" "&amp;VLOOKUP(consultation[[#This Row],[ID_patient]],patient[],3,FALSE)</f>
        <v>Tatienne Artemis</v>
      </c>
      <c r="J4" s="9">
        <f>VLOOKUP(consultation[[#This Row],[ID_patient]],patient[],16,FALSE)</f>
        <v>1</v>
      </c>
      <c r="K4" s="9" t="str">
        <f>VLOOKUP(consultation[[#This Row],[ID_personnel]],personnel_1[],14,FALSE)</f>
        <v>72</v>
      </c>
    </row>
    <row r="5" spans="1:11" x14ac:dyDescent="0.3">
      <c r="A5" s="8">
        <v>4</v>
      </c>
      <c r="B5" s="9" t="s">
        <v>2724</v>
      </c>
      <c r="C5" s="10">
        <v>235</v>
      </c>
      <c r="D5" s="9" t="s">
        <v>2722</v>
      </c>
      <c r="E5" s="9"/>
      <c r="F5" s="8">
        <v>626</v>
      </c>
      <c r="G5" s="8">
        <v>904</v>
      </c>
      <c r="H5" s="8" t="str">
        <f>VLOOKUP(consultation[[#This Row],[ID_personnel]],personnel_1[],2,FALSE)&amp;" "&amp;VLOOKUP(consultation[[#This Row],[ID_personnel]],personnel_1[],3,FALSE)</f>
        <v>Sunshine Miksa</v>
      </c>
      <c r="I5" s="9" t="str">
        <f>VLOOKUP(consultation[[#This Row],[ID_patient]],patient[],2,FALSE)&amp;" "&amp;VLOOKUP(consultation[[#This Row],[ID_patient]],patient[],3,FALSE)</f>
        <v>Curt Bláthnaid</v>
      </c>
      <c r="J5" s="9">
        <f>VLOOKUP(consultation[[#This Row],[ID_patient]],patient[],16,FALSE)</f>
        <v>2</v>
      </c>
      <c r="K5" s="9" t="str">
        <f>VLOOKUP(consultation[[#This Row],[ID_personnel]],personnel_1[],14,FALSE)</f>
        <v>67</v>
      </c>
    </row>
    <row r="6" spans="1:11" x14ac:dyDescent="0.3">
      <c r="A6" s="8">
        <v>5</v>
      </c>
      <c r="B6" s="9" t="s">
        <v>2724</v>
      </c>
      <c r="C6" s="10">
        <v>58</v>
      </c>
      <c r="D6" s="9" t="s">
        <v>2723</v>
      </c>
      <c r="E6" s="9"/>
      <c r="F6" s="8">
        <v>513</v>
      </c>
      <c r="G6" s="8">
        <v>951</v>
      </c>
      <c r="H6" s="8" t="str">
        <f>VLOOKUP(consultation[[#This Row],[ID_personnel]],personnel_1[],2,FALSE)&amp;" "&amp;VLOOKUP(consultation[[#This Row],[ID_personnel]],personnel_1[],3,FALSE)</f>
        <v>Rufino Jaylin</v>
      </c>
      <c r="I6" s="9" t="str">
        <f>VLOOKUP(consultation[[#This Row],[ID_patient]],patient[],2,FALSE)&amp;" "&amp;VLOOKUP(consultation[[#This Row],[ID_patient]],patient[],3,FALSE)</f>
        <v>Chizoba Desislava</v>
      </c>
      <c r="J6" s="9">
        <f>VLOOKUP(consultation[[#This Row],[ID_patient]],patient[],16,FALSE)</f>
        <v>2</v>
      </c>
      <c r="K6" s="9" t="str">
        <f>VLOOKUP(consultation[[#This Row],[ID_personnel]],personnel_1[],14,FALSE)</f>
        <v>67</v>
      </c>
    </row>
    <row r="7" spans="1:11" x14ac:dyDescent="0.3">
      <c r="A7" s="8">
        <v>6</v>
      </c>
      <c r="B7" s="9" t="s">
        <v>2733</v>
      </c>
      <c r="C7" s="10">
        <v>56</v>
      </c>
      <c r="D7" s="9" t="s">
        <v>2726</v>
      </c>
      <c r="E7" s="9"/>
      <c r="F7" s="8">
        <v>607</v>
      </c>
      <c r="G7" s="8">
        <v>956</v>
      </c>
      <c r="H7" s="8" t="str">
        <f>VLOOKUP(consultation[[#This Row],[ID_personnel]],personnel_1[],2,FALSE)&amp;" "&amp;VLOOKUP(consultation[[#This Row],[ID_personnel]],personnel_1[],3,FALSE)</f>
        <v>Ffion Timoteus</v>
      </c>
      <c r="I7" s="9" t="str">
        <f>VLOOKUP(consultation[[#This Row],[ID_patient]],patient[],2,FALSE)&amp;" "&amp;VLOOKUP(consultation[[#This Row],[ID_patient]],patient[],3,FALSE)</f>
        <v>Ginny Lorenza</v>
      </c>
      <c r="J7" s="9">
        <f>VLOOKUP(consultation[[#This Row],[ID_patient]],patient[],16,FALSE)</f>
        <v>3</v>
      </c>
      <c r="K7" s="9" t="str">
        <f>VLOOKUP(consultation[[#This Row],[ID_personnel]],personnel_1[],14,FALSE)</f>
        <v>42</v>
      </c>
    </row>
    <row r="8" spans="1:11" x14ac:dyDescent="0.3">
      <c r="A8" s="8">
        <v>7</v>
      </c>
      <c r="B8" s="9" t="s">
        <v>2721</v>
      </c>
      <c r="C8" s="10">
        <v>111</v>
      </c>
      <c r="D8" s="9" t="s">
        <v>2727</v>
      </c>
      <c r="E8" s="9"/>
      <c r="F8" s="8">
        <v>568</v>
      </c>
      <c r="G8" s="8">
        <v>897</v>
      </c>
      <c r="H8" s="8" t="str">
        <f>VLOOKUP(consultation[[#This Row],[ID_personnel]],personnel_1[],2,FALSE)&amp;" "&amp;VLOOKUP(consultation[[#This Row],[ID_personnel]],personnel_1[],3,FALSE)</f>
        <v>Linford Yaffa</v>
      </c>
      <c r="I8" s="9" t="str">
        <f>VLOOKUP(consultation[[#This Row],[ID_patient]],patient[],2,FALSE)&amp;" "&amp;VLOOKUP(consultation[[#This Row],[ID_patient]],patient[],3,FALSE)</f>
        <v>Gladwin Elsdon</v>
      </c>
      <c r="J8" s="9">
        <f>VLOOKUP(consultation[[#This Row],[ID_patient]],patient[],16,FALSE)</f>
        <v>3</v>
      </c>
      <c r="K8" s="9" t="str">
        <f>VLOOKUP(consultation[[#This Row],[ID_personnel]],personnel_1[],14,FALSE)</f>
        <v>71</v>
      </c>
    </row>
    <row r="9" spans="1:11" x14ac:dyDescent="0.3">
      <c r="A9" s="8">
        <v>8</v>
      </c>
      <c r="B9" s="9" t="s">
        <v>2733</v>
      </c>
      <c r="C9" s="10">
        <v>84</v>
      </c>
      <c r="D9" s="9" t="s">
        <v>2723</v>
      </c>
      <c r="E9" s="9"/>
      <c r="F9" s="8">
        <v>403</v>
      </c>
      <c r="G9" s="8">
        <v>940</v>
      </c>
      <c r="H9" s="8" t="str">
        <f>VLOOKUP(consultation[[#This Row],[ID_personnel]],personnel_1[],2,FALSE)&amp;" "&amp;VLOOKUP(consultation[[#This Row],[ID_personnel]],personnel_1[],3,FALSE)</f>
        <v>Laraine Mykhaylo</v>
      </c>
      <c r="I9" s="9" t="str">
        <f>VLOOKUP(consultation[[#This Row],[ID_patient]],patient[],2,FALSE)&amp;" "&amp;VLOOKUP(consultation[[#This Row],[ID_patient]],patient[],3,FALSE)</f>
        <v>Gigi Edmé</v>
      </c>
      <c r="J9" s="9">
        <f>VLOOKUP(consultation[[#This Row],[ID_patient]],patient[],16,FALSE)</f>
        <v>3</v>
      </c>
      <c r="K9" s="9" t="str">
        <f>VLOOKUP(consultation[[#This Row],[ID_personnel]],personnel_1[],14,FALSE)</f>
        <v>60</v>
      </c>
    </row>
    <row r="10" spans="1:11" x14ac:dyDescent="0.3">
      <c r="A10" s="8">
        <v>9</v>
      </c>
      <c r="B10" s="9" t="s">
        <v>2721</v>
      </c>
      <c r="C10" s="10">
        <v>188</v>
      </c>
      <c r="D10" s="9" t="s">
        <v>2728</v>
      </c>
      <c r="E10" s="9"/>
      <c r="F10" s="8">
        <v>590</v>
      </c>
      <c r="G10" s="8">
        <v>955</v>
      </c>
      <c r="H10" s="8" t="str">
        <f>VLOOKUP(consultation[[#This Row],[ID_personnel]],personnel_1[],2,FALSE)&amp;" "&amp;VLOOKUP(consultation[[#This Row],[ID_personnel]],personnel_1[],3,FALSE)</f>
        <v>Melaina Eddie</v>
      </c>
      <c r="I10" s="9" t="str">
        <f>VLOOKUP(consultation[[#This Row],[ID_patient]],patient[],2,FALSE)&amp;" "&amp;VLOOKUP(consultation[[#This Row],[ID_patient]],patient[],3,FALSE)</f>
        <v>Yewande Kaden</v>
      </c>
      <c r="J10" s="9">
        <f>VLOOKUP(consultation[[#This Row],[ID_patient]],patient[],16,FALSE)</f>
        <v>3</v>
      </c>
      <c r="K10" s="9" t="str">
        <f>VLOOKUP(consultation[[#This Row],[ID_personnel]],personnel_1[],14,FALSE)</f>
        <v>69</v>
      </c>
    </row>
    <row r="11" spans="1:11" x14ac:dyDescent="0.3">
      <c r="A11" s="8">
        <v>10</v>
      </c>
      <c r="B11" s="9" t="s">
        <v>2733</v>
      </c>
      <c r="C11" s="10">
        <v>162</v>
      </c>
      <c r="D11" s="9" t="s">
        <v>2729</v>
      </c>
      <c r="E11" s="9"/>
      <c r="F11" s="8">
        <v>555</v>
      </c>
      <c r="G11" s="8">
        <v>909</v>
      </c>
      <c r="H11" s="8" t="str">
        <f>VLOOKUP(consultation[[#This Row],[ID_personnel]],personnel_1[],2,FALSE)&amp;" "&amp;VLOOKUP(consultation[[#This Row],[ID_personnel]],personnel_1[],3,FALSE)</f>
        <v>Sophie Carlton</v>
      </c>
      <c r="I11" s="9" t="str">
        <f>VLOOKUP(consultation[[#This Row],[ID_patient]],patient[],2,FALSE)&amp;" "&amp;VLOOKUP(consultation[[#This Row],[ID_patient]],patient[],3,FALSE)</f>
        <v>Chanel Jérôme</v>
      </c>
      <c r="J11" s="9">
        <f>VLOOKUP(consultation[[#This Row],[ID_patient]],patient[],16,FALSE)</f>
        <v>3</v>
      </c>
      <c r="K11" s="9" t="str">
        <f>VLOOKUP(consultation[[#This Row],[ID_personnel]],personnel_1[],14,FALSE)</f>
        <v>51</v>
      </c>
    </row>
    <row r="12" spans="1:11" x14ac:dyDescent="0.3">
      <c r="A12" s="8">
        <v>11</v>
      </c>
      <c r="B12" s="9" t="s">
        <v>2724</v>
      </c>
      <c r="C12" s="10">
        <v>111</v>
      </c>
      <c r="D12" s="9" t="s">
        <v>2730</v>
      </c>
      <c r="E12" s="9"/>
      <c r="F12" s="8">
        <v>583</v>
      </c>
      <c r="G12" s="8">
        <v>962</v>
      </c>
      <c r="H12" s="8" t="str">
        <f>VLOOKUP(consultation[[#This Row],[ID_personnel]],personnel_1[],2,FALSE)&amp;" "&amp;VLOOKUP(consultation[[#This Row],[ID_personnel]],personnel_1[],3,FALSE)</f>
        <v>Zusman Zosimos</v>
      </c>
      <c r="I12" s="9" t="str">
        <f>VLOOKUP(consultation[[#This Row],[ID_patient]],patient[],2,FALSE)&amp;" "&amp;VLOOKUP(consultation[[#This Row],[ID_patient]],patient[],3,FALSE)</f>
        <v>Kekepania Maybelle</v>
      </c>
      <c r="J12" s="9">
        <f>VLOOKUP(consultation[[#This Row],[ID_patient]],patient[],16,FALSE)</f>
        <v>2</v>
      </c>
      <c r="K12" s="9" t="str">
        <f>VLOOKUP(consultation[[#This Row],[ID_personnel]],personnel_1[],14,FALSE)</f>
        <v>43</v>
      </c>
    </row>
    <row r="13" spans="1:11" x14ac:dyDescent="0.3">
      <c r="A13" s="8">
        <v>12</v>
      </c>
      <c r="B13" s="9" t="s">
        <v>2721</v>
      </c>
      <c r="C13" s="10">
        <v>10</v>
      </c>
      <c r="D13" s="9" t="s">
        <v>2723</v>
      </c>
      <c r="E13" s="9"/>
      <c r="F13" s="8">
        <v>406</v>
      </c>
      <c r="G13" s="8">
        <v>949</v>
      </c>
      <c r="H13" s="8" t="str">
        <f>VLOOKUP(consultation[[#This Row],[ID_personnel]],personnel_1[],2,FALSE)&amp;" "&amp;VLOOKUP(consultation[[#This Row],[ID_personnel]],personnel_1[],3,FALSE)</f>
        <v>Paulene Alease</v>
      </c>
      <c r="I13" s="9" t="str">
        <f>VLOOKUP(consultation[[#This Row],[ID_patient]],patient[],2,FALSE)&amp;" "&amp;VLOOKUP(consultation[[#This Row],[ID_patient]],patient[],3,FALSE)</f>
        <v>Lawahiz Niloofar</v>
      </c>
      <c r="J13" s="9">
        <f>VLOOKUP(consultation[[#This Row],[ID_patient]],patient[],16,FALSE)</f>
        <v>2</v>
      </c>
      <c r="K13" s="9" t="str">
        <f>VLOOKUP(consultation[[#This Row],[ID_personnel]],personnel_1[],14,FALSE)</f>
        <v>68</v>
      </c>
    </row>
    <row r="14" spans="1:11" x14ac:dyDescent="0.3">
      <c r="A14" s="8">
        <v>13</v>
      </c>
      <c r="B14" s="9" t="s">
        <v>2733</v>
      </c>
      <c r="C14" s="10">
        <v>127</v>
      </c>
      <c r="D14" s="9" t="s">
        <v>2731</v>
      </c>
      <c r="E14" s="9"/>
      <c r="F14" s="8">
        <v>609</v>
      </c>
      <c r="G14" s="8">
        <v>952</v>
      </c>
      <c r="H14" s="8" t="str">
        <f>VLOOKUP(consultation[[#This Row],[ID_personnel]],personnel_1[],2,FALSE)&amp;" "&amp;VLOOKUP(consultation[[#This Row],[ID_personnel]],personnel_1[],3,FALSE)</f>
        <v>Tormod Joost</v>
      </c>
      <c r="I14" s="9" t="str">
        <f>VLOOKUP(consultation[[#This Row],[ID_patient]],patient[],2,FALSE)&amp;" "&amp;VLOOKUP(consultation[[#This Row],[ID_patient]],patient[],3,FALSE)</f>
        <v>Toribio Ayishah</v>
      </c>
      <c r="J14" s="9">
        <f>VLOOKUP(consultation[[#This Row],[ID_patient]],patient[],16,FALSE)</f>
        <v>2</v>
      </c>
      <c r="K14" s="9" t="str">
        <f>VLOOKUP(consultation[[#This Row],[ID_personnel]],personnel_1[],14,FALSE)</f>
        <v>80</v>
      </c>
    </row>
    <row r="15" spans="1:11" x14ac:dyDescent="0.3">
      <c r="A15" s="8">
        <v>14</v>
      </c>
      <c r="B15" s="9" t="s">
        <v>2721</v>
      </c>
      <c r="C15" s="10">
        <v>227</v>
      </c>
      <c r="D15" s="9" t="s">
        <v>2732</v>
      </c>
      <c r="E15" s="9"/>
      <c r="F15" s="8">
        <v>599</v>
      </c>
      <c r="G15" s="8">
        <v>983</v>
      </c>
      <c r="H15" s="8" t="str">
        <f>VLOOKUP(consultation[[#This Row],[ID_personnel]],personnel_1[],2,FALSE)&amp;" "&amp;VLOOKUP(consultation[[#This Row],[ID_personnel]],personnel_1[],3,FALSE)</f>
        <v>Joab Jaumet</v>
      </c>
      <c r="I15" s="9" t="str">
        <f>VLOOKUP(consultation[[#This Row],[ID_patient]],patient[],2,FALSE)&amp;" "&amp;VLOOKUP(consultation[[#This Row],[ID_patient]],patient[],3,FALSE)</f>
        <v>Xene Trinidad</v>
      </c>
      <c r="J15" s="9">
        <f>VLOOKUP(consultation[[#This Row],[ID_patient]],patient[],16,FALSE)</f>
        <v>2</v>
      </c>
      <c r="K15" s="9" t="str">
        <f>VLOOKUP(consultation[[#This Row],[ID_personnel]],personnel_1[],14,FALSE)</f>
        <v>64</v>
      </c>
    </row>
    <row r="16" spans="1:11" x14ac:dyDescent="0.3">
      <c r="A16" s="8">
        <v>15</v>
      </c>
      <c r="B16" s="9" t="s">
        <v>2733</v>
      </c>
      <c r="C16" s="10">
        <v>108</v>
      </c>
      <c r="D16" s="9" t="s">
        <v>2731</v>
      </c>
      <c r="E16" s="9"/>
      <c r="F16" s="8">
        <v>383</v>
      </c>
      <c r="G16" s="8">
        <v>974</v>
      </c>
      <c r="H16" s="8" t="str">
        <f>VLOOKUP(consultation[[#This Row],[ID_personnel]],personnel_1[],2,FALSE)&amp;" "&amp;VLOOKUP(consultation[[#This Row],[ID_personnel]],personnel_1[],3,FALSE)</f>
        <v>Hammond Lan</v>
      </c>
      <c r="I16" s="9" t="str">
        <f>VLOOKUP(consultation[[#This Row],[ID_patient]],patient[],2,FALSE)&amp;" "&amp;VLOOKUP(consultation[[#This Row],[ID_patient]],patient[],3,FALSE)</f>
        <v>Grigor Gratia</v>
      </c>
      <c r="J16" s="9">
        <f>VLOOKUP(consultation[[#This Row],[ID_patient]],patient[],16,FALSE)</f>
        <v>2</v>
      </c>
      <c r="K16" s="9" t="str">
        <f>VLOOKUP(consultation[[#This Row],[ID_personnel]],personnel_1[],14,FALSE)</f>
        <v>67</v>
      </c>
    </row>
    <row r="17" spans="1:11" x14ac:dyDescent="0.3">
      <c r="A17" s="8">
        <v>16</v>
      </c>
      <c r="B17" s="9" t="s">
        <v>2724</v>
      </c>
      <c r="C17" s="10">
        <v>194</v>
      </c>
      <c r="D17" s="9" t="s">
        <v>2730</v>
      </c>
      <c r="E17" s="9"/>
      <c r="F17" s="8">
        <v>592</v>
      </c>
      <c r="G17" s="8">
        <v>942</v>
      </c>
      <c r="H17" s="8" t="str">
        <f>VLOOKUP(consultation[[#This Row],[ID_personnel]],personnel_1[],2,FALSE)&amp;" "&amp;VLOOKUP(consultation[[#This Row],[ID_personnel]],personnel_1[],3,FALSE)</f>
        <v>Confucius Ofydd</v>
      </c>
      <c r="I17" s="9" t="str">
        <f>VLOOKUP(consultation[[#This Row],[ID_patient]],patient[],2,FALSE)&amp;" "&amp;VLOOKUP(consultation[[#This Row],[ID_patient]],patient[],3,FALSE)</f>
        <v>Indra Ryo</v>
      </c>
      <c r="J17" s="9">
        <f>VLOOKUP(consultation[[#This Row],[ID_patient]],patient[],16,FALSE)</f>
        <v>1</v>
      </c>
      <c r="K17" s="9" t="str">
        <f>VLOOKUP(consultation[[#This Row],[ID_personnel]],personnel_1[],14,FALSE)</f>
        <v>50</v>
      </c>
    </row>
    <row r="18" spans="1:11" x14ac:dyDescent="0.3">
      <c r="A18" s="8">
        <v>17</v>
      </c>
      <c r="B18" s="9" t="s">
        <v>2724</v>
      </c>
      <c r="C18" s="10">
        <v>151</v>
      </c>
      <c r="D18" s="9" t="s">
        <v>2732</v>
      </c>
      <c r="E18" s="9"/>
      <c r="F18" s="8">
        <v>419</v>
      </c>
      <c r="G18" s="8">
        <v>972</v>
      </c>
      <c r="H18" s="8" t="str">
        <f>VLOOKUP(consultation[[#This Row],[ID_personnel]],personnel_1[],2,FALSE)&amp;" "&amp;VLOOKUP(consultation[[#This Row],[ID_personnel]],personnel_1[],3,FALSE)</f>
        <v>Vilmar Eleanor</v>
      </c>
      <c r="I18" s="9" t="str">
        <f>VLOOKUP(consultation[[#This Row],[ID_patient]],patient[],2,FALSE)&amp;" "&amp;VLOOKUP(consultation[[#This Row],[ID_patient]],patient[],3,FALSE)</f>
        <v>Petrica Kjetil</v>
      </c>
      <c r="J18" s="9">
        <f>VLOOKUP(consultation[[#This Row],[ID_patient]],patient[],16,FALSE)</f>
        <v>3</v>
      </c>
      <c r="K18" s="9" t="str">
        <f>VLOOKUP(consultation[[#This Row],[ID_personnel]],personnel_1[],14,FALSE)</f>
        <v>66</v>
      </c>
    </row>
    <row r="19" spans="1:11" x14ac:dyDescent="0.3">
      <c r="A19" s="8">
        <v>18</v>
      </c>
      <c r="B19" s="9" t="s">
        <v>2733</v>
      </c>
      <c r="C19" s="10">
        <v>18</v>
      </c>
      <c r="D19" s="9" t="s">
        <v>2731</v>
      </c>
      <c r="E19" s="9"/>
      <c r="F19" s="8">
        <v>542</v>
      </c>
      <c r="G19" s="8">
        <v>938</v>
      </c>
      <c r="H19" s="8" t="str">
        <f>VLOOKUP(consultation[[#This Row],[ID_personnel]],personnel_1[],2,FALSE)&amp;" "&amp;VLOOKUP(consultation[[#This Row],[ID_personnel]],personnel_1[],3,FALSE)</f>
        <v>Solvig Nerissa</v>
      </c>
      <c r="I19" s="9" t="str">
        <f>VLOOKUP(consultation[[#This Row],[ID_patient]],patient[],2,FALSE)&amp;" "&amp;VLOOKUP(consultation[[#This Row],[ID_patient]],patient[],3,FALSE)</f>
        <v>Rina Heiner</v>
      </c>
      <c r="J19" s="9">
        <f>VLOOKUP(consultation[[#This Row],[ID_patient]],patient[],16,FALSE)</f>
        <v>2</v>
      </c>
      <c r="K19" s="9" t="str">
        <f>VLOOKUP(consultation[[#This Row],[ID_personnel]],personnel_1[],14,FALSE)</f>
        <v>65</v>
      </c>
    </row>
    <row r="20" spans="1:11" x14ac:dyDescent="0.3">
      <c r="A20" s="8">
        <v>19</v>
      </c>
      <c r="B20" s="9" t="s">
        <v>2721</v>
      </c>
      <c r="C20" s="10">
        <v>166</v>
      </c>
      <c r="D20" s="9" t="s">
        <v>2726</v>
      </c>
      <c r="E20" s="9"/>
      <c r="F20" s="8">
        <v>579</v>
      </c>
      <c r="G20" s="8">
        <v>992</v>
      </c>
      <c r="H20" s="8" t="str">
        <f>VLOOKUP(consultation[[#This Row],[ID_personnel]],personnel_1[],2,FALSE)&amp;" "&amp;VLOOKUP(consultation[[#This Row],[ID_personnel]],personnel_1[],3,FALSE)</f>
        <v>Thekla Maha</v>
      </c>
      <c r="I20" s="9" t="str">
        <f>VLOOKUP(consultation[[#This Row],[ID_patient]],patient[],2,FALSE)&amp;" "&amp;VLOOKUP(consultation[[#This Row],[ID_patient]],patient[],3,FALSE)</f>
        <v>Kunthea Maeve</v>
      </c>
      <c r="J20" s="9">
        <f>VLOOKUP(consultation[[#This Row],[ID_patient]],patient[],16,FALSE)</f>
        <v>3</v>
      </c>
      <c r="K20" s="9" t="str">
        <f>VLOOKUP(consultation[[#This Row],[ID_personnel]],personnel_1[],14,FALSE)</f>
        <v>69</v>
      </c>
    </row>
    <row r="21" spans="1:11" x14ac:dyDescent="0.3">
      <c r="A21" s="8">
        <v>20</v>
      </c>
      <c r="B21" s="9" t="s">
        <v>2721</v>
      </c>
      <c r="C21" s="10">
        <v>53</v>
      </c>
      <c r="D21" s="9" t="s">
        <v>2730</v>
      </c>
      <c r="E21" s="9"/>
      <c r="F21" s="8">
        <v>513</v>
      </c>
      <c r="G21" s="8">
        <v>888</v>
      </c>
      <c r="H21" s="8" t="str">
        <f>VLOOKUP(consultation[[#This Row],[ID_personnel]],personnel_1[],2,FALSE)&amp;" "&amp;VLOOKUP(consultation[[#This Row],[ID_personnel]],personnel_1[],3,FALSE)</f>
        <v>Morgan Madeline</v>
      </c>
      <c r="I21" s="9" t="str">
        <f>VLOOKUP(consultation[[#This Row],[ID_patient]],patient[],2,FALSE)&amp;" "&amp;VLOOKUP(consultation[[#This Row],[ID_patient]],patient[],3,FALSE)</f>
        <v>Chizoba Desislava</v>
      </c>
      <c r="J21" s="9">
        <f>VLOOKUP(consultation[[#This Row],[ID_patient]],patient[],16,FALSE)</f>
        <v>2</v>
      </c>
      <c r="K21" s="9" t="str">
        <f>VLOOKUP(consultation[[#This Row],[ID_personnel]],personnel_1[],14,FALSE)</f>
        <v>50</v>
      </c>
    </row>
    <row r="22" spans="1:11" x14ac:dyDescent="0.3">
      <c r="A22" s="8">
        <v>21</v>
      </c>
      <c r="B22" s="9" t="s">
        <v>2724</v>
      </c>
      <c r="C22" s="10">
        <v>246</v>
      </c>
      <c r="D22" s="9" t="s">
        <v>2725</v>
      </c>
      <c r="E22" s="9"/>
      <c r="F22" s="8">
        <v>478</v>
      </c>
      <c r="G22" s="8">
        <v>926</v>
      </c>
      <c r="H22" s="8" t="str">
        <f>VLOOKUP(consultation[[#This Row],[ID_personnel]],personnel_1[],2,FALSE)&amp;" "&amp;VLOOKUP(consultation[[#This Row],[ID_personnel]],personnel_1[],3,FALSE)</f>
        <v>Bailey Greet</v>
      </c>
      <c r="I22" s="9" t="str">
        <f>VLOOKUP(consultation[[#This Row],[ID_patient]],patient[],2,FALSE)&amp;" "&amp;VLOOKUP(consultation[[#This Row],[ID_patient]],patient[],3,FALSE)</f>
        <v>Dana (2) Orrell</v>
      </c>
      <c r="J22" s="9">
        <f>VLOOKUP(consultation[[#This Row],[ID_patient]],patient[],16,FALSE)</f>
        <v>1</v>
      </c>
      <c r="K22" s="9" t="str">
        <f>VLOOKUP(consultation[[#This Row],[ID_personnel]],personnel_1[],14,FALSE)</f>
        <v>72</v>
      </c>
    </row>
    <row r="23" spans="1:11" x14ac:dyDescent="0.3">
      <c r="A23" s="8">
        <v>22</v>
      </c>
      <c r="B23" s="9" t="s">
        <v>2733</v>
      </c>
      <c r="C23" s="10">
        <v>154</v>
      </c>
      <c r="D23" s="9" t="s">
        <v>2729</v>
      </c>
      <c r="E23" s="9"/>
      <c r="F23" s="8">
        <v>527</v>
      </c>
      <c r="G23" s="8">
        <v>974</v>
      </c>
      <c r="H23" s="8" t="str">
        <f>VLOOKUP(consultation[[#This Row],[ID_personnel]],personnel_1[],2,FALSE)&amp;" "&amp;VLOOKUP(consultation[[#This Row],[ID_personnel]],personnel_1[],3,FALSE)</f>
        <v>Hammond Lan</v>
      </c>
      <c r="I23" s="9" t="str">
        <f>VLOOKUP(consultation[[#This Row],[ID_patient]],patient[],2,FALSE)&amp;" "&amp;VLOOKUP(consultation[[#This Row],[ID_patient]],patient[],3,FALSE)</f>
        <v>Rafa Karen</v>
      </c>
      <c r="J23" s="9">
        <f>VLOOKUP(consultation[[#This Row],[ID_patient]],patient[],16,FALSE)</f>
        <v>1</v>
      </c>
      <c r="K23" s="9" t="str">
        <f>VLOOKUP(consultation[[#This Row],[ID_personnel]],personnel_1[],14,FALSE)</f>
        <v>67</v>
      </c>
    </row>
    <row r="24" spans="1:11" x14ac:dyDescent="0.3">
      <c r="A24" s="8">
        <v>23</v>
      </c>
      <c r="B24" s="9" t="s">
        <v>2724</v>
      </c>
      <c r="C24" s="10">
        <v>46</v>
      </c>
      <c r="D24" s="9" t="s">
        <v>2723</v>
      </c>
      <c r="E24" s="9"/>
      <c r="F24" s="8">
        <v>373</v>
      </c>
      <c r="G24" s="8">
        <v>917</v>
      </c>
      <c r="H24" s="8" t="str">
        <f>VLOOKUP(consultation[[#This Row],[ID_personnel]],personnel_1[],2,FALSE)&amp;" "&amp;VLOOKUP(consultation[[#This Row],[ID_personnel]],personnel_1[],3,FALSE)</f>
        <v>Fatima Kourtney</v>
      </c>
      <c r="I24" s="9" t="str">
        <f>VLOOKUP(consultation[[#This Row],[ID_patient]],patient[],2,FALSE)&amp;" "&amp;VLOOKUP(consultation[[#This Row],[ID_patient]],patient[],3,FALSE)</f>
        <v>Eldred Alisa</v>
      </c>
      <c r="J24" s="9">
        <f>VLOOKUP(consultation[[#This Row],[ID_patient]],patient[],16,FALSE)</f>
        <v>3</v>
      </c>
      <c r="K24" s="9" t="str">
        <f>VLOOKUP(consultation[[#This Row],[ID_personnel]],personnel_1[],14,FALSE)</f>
        <v>41</v>
      </c>
    </row>
    <row r="25" spans="1:11" x14ac:dyDescent="0.3">
      <c r="A25" s="8">
        <v>24</v>
      </c>
      <c r="B25" s="9" t="s">
        <v>2733</v>
      </c>
      <c r="C25" s="10">
        <v>63</v>
      </c>
      <c r="D25" s="9" t="s">
        <v>2726</v>
      </c>
      <c r="E25" s="9"/>
      <c r="F25" s="8">
        <v>532</v>
      </c>
      <c r="G25" s="8">
        <v>918</v>
      </c>
      <c r="H25" s="8" t="str">
        <f>VLOOKUP(consultation[[#This Row],[ID_personnel]],personnel_1[],2,FALSE)&amp;" "&amp;VLOOKUP(consultation[[#This Row],[ID_personnel]],personnel_1[],3,FALSE)</f>
        <v>Chad Theodoric</v>
      </c>
      <c r="I25" s="9" t="str">
        <f>VLOOKUP(consultation[[#This Row],[ID_patient]],patient[],2,FALSE)&amp;" "&amp;VLOOKUP(consultation[[#This Row],[ID_patient]],patient[],3,FALSE)</f>
        <v>Piet Lydia</v>
      </c>
      <c r="J25" s="9">
        <f>VLOOKUP(consultation[[#This Row],[ID_patient]],patient[],16,FALSE)</f>
        <v>1</v>
      </c>
      <c r="K25" s="9" t="str">
        <f>VLOOKUP(consultation[[#This Row],[ID_personnel]],personnel_1[],14,FALSE)</f>
        <v>69</v>
      </c>
    </row>
    <row r="26" spans="1:11" x14ac:dyDescent="0.3">
      <c r="A26" s="8">
        <v>25</v>
      </c>
      <c r="B26" s="9" t="s">
        <v>2721</v>
      </c>
      <c r="C26" s="10">
        <v>13</v>
      </c>
      <c r="D26" s="9" t="s">
        <v>2732</v>
      </c>
      <c r="E26" s="9"/>
      <c r="F26" s="8">
        <v>542</v>
      </c>
      <c r="G26" s="8">
        <v>930</v>
      </c>
      <c r="H26" s="8" t="str">
        <f>VLOOKUP(consultation[[#This Row],[ID_personnel]],personnel_1[],2,FALSE)&amp;" "&amp;VLOOKUP(consultation[[#This Row],[ID_personnel]],personnel_1[],3,FALSE)</f>
        <v>Delia Fritjof</v>
      </c>
      <c r="I26" s="9" t="str">
        <f>VLOOKUP(consultation[[#This Row],[ID_patient]],patient[],2,FALSE)&amp;" "&amp;VLOOKUP(consultation[[#This Row],[ID_patient]],patient[],3,FALSE)</f>
        <v>Rina Heiner</v>
      </c>
      <c r="J26" s="9">
        <f>VLOOKUP(consultation[[#This Row],[ID_patient]],patient[],16,FALSE)</f>
        <v>2</v>
      </c>
      <c r="K26" s="9" t="str">
        <f>VLOOKUP(consultation[[#This Row],[ID_personnel]],personnel_1[],14,FALSE)</f>
        <v>50</v>
      </c>
    </row>
    <row r="27" spans="1:11" x14ac:dyDescent="0.3">
      <c r="A27" s="8">
        <v>26</v>
      </c>
      <c r="B27" s="9" t="s">
        <v>2724</v>
      </c>
      <c r="C27" s="10">
        <v>60</v>
      </c>
      <c r="D27" s="9" t="s">
        <v>2728</v>
      </c>
      <c r="E27" s="9"/>
      <c r="F27" s="8">
        <v>495</v>
      </c>
      <c r="G27" s="8">
        <v>1020</v>
      </c>
      <c r="H27" s="8" t="str">
        <f>VLOOKUP(consultation[[#This Row],[ID_personnel]],personnel_1[],2,FALSE)&amp;" "&amp;VLOOKUP(consultation[[#This Row],[ID_personnel]],personnel_1[],3,FALSE)</f>
        <v>Paulene Alease</v>
      </c>
      <c r="I27" s="9" t="str">
        <f>VLOOKUP(consultation[[#This Row],[ID_patient]],patient[],2,FALSE)&amp;" "&amp;VLOOKUP(consultation[[#This Row],[ID_patient]],patient[],3,FALSE)</f>
        <v>Briar Naum</v>
      </c>
      <c r="J27" s="9">
        <f>VLOOKUP(consultation[[#This Row],[ID_patient]],patient[],16,FALSE)</f>
        <v>1</v>
      </c>
      <c r="K27" s="9" t="str">
        <f>VLOOKUP(consultation[[#This Row],[ID_personnel]],personnel_1[],14,FALSE)</f>
        <v>68</v>
      </c>
    </row>
    <row r="28" spans="1:11" x14ac:dyDescent="0.3">
      <c r="A28" s="8">
        <v>27</v>
      </c>
      <c r="B28" s="9" t="s">
        <v>2724</v>
      </c>
      <c r="C28" s="10">
        <v>55</v>
      </c>
      <c r="D28" s="9" t="s">
        <v>2730</v>
      </c>
      <c r="E28" s="9"/>
      <c r="F28" s="8">
        <v>435</v>
      </c>
      <c r="G28" s="8">
        <v>982</v>
      </c>
      <c r="H28" s="8" t="str">
        <f>VLOOKUP(consultation[[#This Row],[ID_personnel]],personnel_1[],2,FALSE)&amp;" "&amp;VLOOKUP(consultation[[#This Row],[ID_personnel]],personnel_1[],3,FALSE)</f>
        <v>Sancho Christophe</v>
      </c>
      <c r="I28" s="9" t="str">
        <f>VLOOKUP(consultation[[#This Row],[ID_patient]],patient[],2,FALSE)&amp;" "&amp;VLOOKUP(consultation[[#This Row],[ID_patient]],patient[],3,FALSE)</f>
        <v>Awotwi Milogost</v>
      </c>
      <c r="J28" s="9">
        <f>VLOOKUP(consultation[[#This Row],[ID_patient]],patient[],16,FALSE)</f>
        <v>3</v>
      </c>
      <c r="K28" s="9" t="str">
        <f>VLOOKUP(consultation[[#This Row],[ID_personnel]],personnel_1[],14,FALSE)</f>
        <v>68</v>
      </c>
    </row>
    <row r="29" spans="1:11" x14ac:dyDescent="0.3">
      <c r="A29" s="8">
        <v>28</v>
      </c>
      <c r="B29" s="9" t="s">
        <v>2733</v>
      </c>
      <c r="C29" s="10">
        <v>121</v>
      </c>
      <c r="D29" s="9" t="s">
        <v>2728</v>
      </c>
      <c r="E29" s="9"/>
      <c r="F29" s="8">
        <v>517</v>
      </c>
      <c r="G29" s="8">
        <v>924</v>
      </c>
      <c r="H29" s="8" t="str">
        <f>VLOOKUP(consultation[[#This Row],[ID_personnel]],personnel_1[],2,FALSE)&amp;" "&amp;VLOOKUP(consultation[[#This Row],[ID_personnel]],personnel_1[],3,FALSE)</f>
        <v>Shiphrah Eluned</v>
      </c>
      <c r="I29" s="9" t="str">
        <f>VLOOKUP(consultation[[#This Row],[ID_patient]],patient[],2,FALSE)&amp;" "&amp;VLOOKUP(consultation[[#This Row],[ID_patient]],patient[],3,FALSE)</f>
        <v>Theodoros Amal</v>
      </c>
      <c r="J29" s="9">
        <f>VLOOKUP(consultation[[#This Row],[ID_patient]],patient[],16,FALSE)</f>
        <v>1</v>
      </c>
      <c r="K29" s="9" t="str">
        <f>VLOOKUP(consultation[[#This Row],[ID_personnel]],personnel_1[],14,FALSE)</f>
        <v>42</v>
      </c>
    </row>
    <row r="30" spans="1:11" x14ac:dyDescent="0.3">
      <c r="A30" s="8">
        <v>29</v>
      </c>
      <c r="B30" s="9" t="s">
        <v>2733</v>
      </c>
      <c r="C30" s="10">
        <v>96</v>
      </c>
      <c r="D30" s="9" t="s">
        <v>2730</v>
      </c>
      <c r="E30" s="9"/>
      <c r="F30" s="8">
        <v>582</v>
      </c>
      <c r="G30" s="8">
        <v>907</v>
      </c>
      <c r="H30" s="8" t="str">
        <f>VLOOKUP(consultation[[#This Row],[ID_personnel]],personnel_1[],2,FALSE)&amp;" "&amp;VLOOKUP(consultation[[#This Row],[ID_personnel]],personnel_1[],3,FALSE)</f>
        <v>Sarai Reggie</v>
      </c>
      <c r="I30" s="9" t="str">
        <f>VLOOKUP(consultation[[#This Row],[ID_patient]],patient[],2,FALSE)&amp;" "&amp;VLOOKUP(consultation[[#This Row],[ID_patient]],patient[],3,FALSE)</f>
        <v>Raleigh Agatha</v>
      </c>
      <c r="J30" s="9">
        <f>VLOOKUP(consultation[[#This Row],[ID_patient]],patient[],16,FALSE)</f>
        <v>1</v>
      </c>
      <c r="K30" s="9" t="str">
        <f>VLOOKUP(consultation[[#This Row],[ID_personnel]],personnel_1[],14,FALSE)</f>
        <v>64</v>
      </c>
    </row>
    <row r="31" spans="1:11" x14ac:dyDescent="0.3">
      <c r="A31" s="8">
        <v>30</v>
      </c>
      <c r="B31" s="9" t="s">
        <v>2721</v>
      </c>
      <c r="C31" s="10">
        <v>19</v>
      </c>
      <c r="D31" s="9" t="s">
        <v>2732</v>
      </c>
      <c r="E31" s="9"/>
      <c r="F31" s="8">
        <v>461</v>
      </c>
      <c r="G31" s="8">
        <v>1014</v>
      </c>
      <c r="H31" s="8" t="str">
        <f>VLOOKUP(consultation[[#This Row],[ID_personnel]],personnel_1[],2,FALSE)&amp;" "&amp;VLOOKUP(consultation[[#This Row],[ID_personnel]],personnel_1[],3,FALSE)</f>
        <v>Melor Suzie</v>
      </c>
      <c r="I31" s="9" t="str">
        <f>VLOOKUP(consultation[[#This Row],[ID_patient]],patient[],2,FALSE)&amp;" "&amp;VLOOKUP(consultation[[#This Row],[ID_patient]],patient[],3,FALSE)</f>
        <v>Marajha Romulus</v>
      </c>
      <c r="J31" s="9">
        <f>VLOOKUP(consultation[[#This Row],[ID_patient]],patient[],16,FALSE)</f>
        <v>3</v>
      </c>
      <c r="K31" s="9" t="str">
        <f>VLOOKUP(consultation[[#This Row],[ID_personnel]],personnel_1[],14,FALSE)</f>
        <v>76</v>
      </c>
    </row>
    <row r="32" spans="1:11" x14ac:dyDescent="0.3">
      <c r="A32" s="8">
        <v>31</v>
      </c>
      <c r="B32" s="9" t="s">
        <v>2721</v>
      </c>
      <c r="C32" s="10">
        <v>10</v>
      </c>
      <c r="D32" s="9" t="s">
        <v>2726</v>
      </c>
      <c r="E32" s="9"/>
      <c r="F32" s="8">
        <v>420</v>
      </c>
      <c r="G32" s="8">
        <v>940</v>
      </c>
      <c r="H32" s="8" t="str">
        <f>VLOOKUP(consultation[[#This Row],[ID_personnel]],personnel_1[],2,FALSE)&amp;" "&amp;VLOOKUP(consultation[[#This Row],[ID_personnel]],personnel_1[],3,FALSE)</f>
        <v>Laraine Mykhaylo</v>
      </c>
      <c r="I32" s="9" t="str">
        <f>VLOOKUP(consultation[[#This Row],[ID_patient]],patient[],2,FALSE)&amp;" "&amp;VLOOKUP(consultation[[#This Row],[ID_patient]],patient[],3,FALSE)</f>
        <v>Lavrenti Salli</v>
      </c>
      <c r="J32" s="9">
        <f>VLOOKUP(consultation[[#This Row],[ID_patient]],patient[],16,FALSE)</f>
        <v>3</v>
      </c>
      <c r="K32" s="9" t="str">
        <f>VLOOKUP(consultation[[#This Row],[ID_personnel]],personnel_1[],14,FALSE)</f>
        <v>60</v>
      </c>
    </row>
    <row r="33" spans="1:11" x14ac:dyDescent="0.3">
      <c r="A33" s="8">
        <v>32</v>
      </c>
      <c r="B33" s="9" t="s">
        <v>2721</v>
      </c>
      <c r="C33" s="10">
        <v>166</v>
      </c>
      <c r="D33" s="9" t="s">
        <v>2722</v>
      </c>
      <c r="E33" s="9"/>
      <c r="F33" s="8">
        <v>514</v>
      </c>
      <c r="G33" s="8">
        <v>930</v>
      </c>
      <c r="H33" s="8" t="str">
        <f>VLOOKUP(consultation[[#This Row],[ID_personnel]],personnel_1[],2,FALSE)&amp;" "&amp;VLOOKUP(consultation[[#This Row],[ID_personnel]],personnel_1[],3,FALSE)</f>
        <v>Delia Fritjof</v>
      </c>
      <c r="I33" s="9" t="str">
        <f>VLOOKUP(consultation[[#This Row],[ID_patient]],patient[],2,FALSE)&amp;" "&amp;VLOOKUP(consultation[[#This Row],[ID_patient]],patient[],3,FALSE)</f>
        <v>Halldóra Mitchell</v>
      </c>
      <c r="J33" s="9">
        <f>VLOOKUP(consultation[[#This Row],[ID_patient]],patient[],16,FALSE)</f>
        <v>1</v>
      </c>
      <c r="K33" s="9" t="str">
        <f>VLOOKUP(consultation[[#This Row],[ID_personnel]],personnel_1[],14,FALSE)</f>
        <v>50</v>
      </c>
    </row>
    <row r="34" spans="1:11" x14ac:dyDescent="0.3">
      <c r="A34" s="8">
        <v>33</v>
      </c>
      <c r="B34" s="9" t="s">
        <v>2733</v>
      </c>
      <c r="C34" s="10">
        <v>86</v>
      </c>
      <c r="D34" s="9" t="s">
        <v>2728</v>
      </c>
      <c r="E34" s="9"/>
      <c r="F34" s="8">
        <v>612</v>
      </c>
      <c r="G34" s="8">
        <v>953</v>
      </c>
      <c r="H34" s="8" t="str">
        <f>VLOOKUP(consultation[[#This Row],[ID_personnel]],personnel_1[],2,FALSE)&amp;" "&amp;VLOOKUP(consultation[[#This Row],[ID_personnel]],personnel_1[],3,FALSE)</f>
        <v>Ivanna Gull</v>
      </c>
      <c r="I34" s="9" t="str">
        <f>VLOOKUP(consultation[[#This Row],[ID_patient]],patient[],2,FALSE)&amp;" "&amp;VLOOKUP(consultation[[#This Row],[ID_patient]],patient[],3,FALSE)</f>
        <v>Pollyanna Jarred</v>
      </c>
      <c r="J34" s="9">
        <f>VLOOKUP(consultation[[#This Row],[ID_patient]],patient[],16,FALSE)</f>
        <v>1</v>
      </c>
      <c r="K34" s="9" t="str">
        <f>VLOOKUP(consultation[[#This Row],[ID_personnel]],personnel_1[],14,FALSE)</f>
        <v>44</v>
      </c>
    </row>
    <row r="35" spans="1:11" x14ac:dyDescent="0.3">
      <c r="A35" s="8">
        <v>34</v>
      </c>
      <c r="B35" s="9" t="s">
        <v>2724</v>
      </c>
      <c r="C35" s="10">
        <v>12</v>
      </c>
      <c r="D35" s="9" t="s">
        <v>2729</v>
      </c>
      <c r="E35" s="9"/>
      <c r="F35" s="8">
        <v>625</v>
      </c>
      <c r="G35" s="8">
        <v>961</v>
      </c>
      <c r="H35" s="8" t="str">
        <f>VLOOKUP(consultation[[#This Row],[ID_personnel]],personnel_1[],2,FALSE)&amp;" "&amp;VLOOKUP(consultation[[#This Row],[ID_personnel]],personnel_1[],3,FALSE)</f>
        <v>Miranda Tina</v>
      </c>
      <c r="I35" s="9" t="str">
        <f>VLOOKUP(consultation[[#This Row],[ID_patient]],patient[],2,FALSE)&amp;" "&amp;VLOOKUP(consultation[[#This Row],[ID_patient]],patient[],3,FALSE)</f>
        <v>Rich Abd-Al-Qadir</v>
      </c>
      <c r="J35" s="9">
        <f>VLOOKUP(consultation[[#This Row],[ID_patient]],patient[],16,FALSE)</f>
        <v>1</v>
      </c>
      <c r="K35" s="9" t="str">
        <f>VLOOKUP(consultation[[#This Row],[ID_personnel]],personnel_1[],14,FALSE)</f>
        <v>71</v>
      </c>
    </row>
    <row r="36" spans="1:11" x14ac:dyDescent="0.3">
      <c r="A36" s="8">
        <v>35</v>
      </c>
      <c r="B36" s="9" t="s">
        <v>2721</v>
      </c>
      <c r="C36" s="10">
        <v>44</v>
      </c>
      <c r="D36" s="9" t="s">
        <v>2725</v>
      </c>
      <c r="E36" s="9"/>
      <c r="F36" s="8">
        <v>653</v>
      </c>
      <c r="G36" s="8">
        <v>1004</v>
      </c>
      <c r="H36" s="8" t="str">
        <f>VLOOKUP(consultation[[#This Row],[ID_personnel]],personnel_1[],2,FALSE)&amp;" "&amp;VLOOKUP(consultation[[#This Row],[ID_personnel]],personnel_1[],3,FALSE)</f>
        <v>Antony Abegail</v>
      </c>
      <c r="I36" s="9" t="str">
        <f>VLOOKUP(consultation[[#This Row],[ID_patient]],patient[],2,FALSE)&amp;" "&amp;VLOOKUP(consultation[[#This Row],[ID_patient]],patient[],3,FALSE)</f>
        <v>Willis Leonzio</v>
      </c>
      <c r="J36" s="9">
        <f>VLOOKUP(consultation[[#This Row],[ID_patient]],patient[],16,FALSE)</f>
        <v>3</v>
      </c>
      <c r="K36" s="9" t="str">
        <f>VLOOKUP(consultation[[#This Row],[ID_personnel]],personnel_1[],14,FALSE)</f>
        <v>69</v>
      </c>
    </row>
    <row r="37" spans="1:11" x14ac:dyDescent="0.3">
      <c r="A37" s="8">
        <v>36</v>
      </c>
      <c r="B37" s="9" t="s">
        <v>2721</v>
      </c>
      <c r="C37" s="10">
        <v>137</v>
      </c>
      <c r="D37" s="9" t="s">
        <v>2730</v>
      </c>
      <c r="E37" s="9"/>
      <c r="F37" s="8">
        <v>467</v>
      </c>
      <c r="G37" s="8">
        <v>931</v>
      </c>
      <c r="H37" s="8" t="str">
        <f>VLOOKUP(consultation[[#This Row],[ID_personnel]],personnel_1[],2,FALSE)&amp;" "&amp;VLOOKUP(consultation[[#This Row],[ID_personnel]],personnel_1[],3,FALSE)</f>
        <v>Foka Akeem</v>
      </c>
      <c r="I37" s="9" t="str">
        <f>VLOOKUP(consultation[[#This Row],[ID_patient]],patient[],2,FALSE)&amp;" "&amp;VLOOKUP(consultation[[#This Row],[ID_patient]],patient[],3,FALSE)</f>
        <v>Montague Agafya</v>
      </c>
      <c r="J37" s="9">
        <f>VLOOKUP(consultation[[#This Row],[ID_patient]],patient[],16,FALSE)</f>
        <v>1</v>
      </c>
      <c r="K37" s="9" t="str">
        <f>VLOOKUP(consultation[[#This Row],[ID_personnel]],personnel_1[],14,FALSE)</f>
        <v>40</v>
      </c>
    </row>
    <row r="38" spans="1:11" x14ac:dyDescent="0.3">
      <c r="A38" s="8">
        <v>37</v>
      </c>
      <c r="B38" s="9" t="s">
        <v>2721</v>
      </c>
      <c r="C38" s="10">
        <v>202</v>
      </c>
      <c r="D38" s="9" t="s">
        <v>2731</v>
      </c>
      <c r="E38" s="9"/>
      <c r="F38" s="8">
        <v>402</v>
      </c>
      <c r="G38" s="8">
        <v>956</v>
      </c>
      <c r="H38" s="8" t="str">
        <f>VLOOKUP(consultation[[#This Row],[ID_personnel]],personnel_1[],2,FALSE)&amp;" "&amp;VLOOKUP(consultation[[#This Row],[ID_personnel]],personnel_1[],3,FALSE)</f>
        <v>Ffion Timoteus</v>
      </c>
      <c r="I38" s="9" t="str">
        <f>VLOOKUP(consultation[[#This Row],[ID_patient]],patient[],2,FALSE)&amp;" "&amp;VLOOKUP(consultation[[#This Row],[ID_patient]],patient[],3,FALSE)</f>
        <v>Godofredo Jemma</v>
      </c>
      <c r="J38" s="9">
        <f>VLOOKUP(consultation[[#This Row],[ID_patient]],patient[],16,FALSE)</f>
        <v>2</v>
      </c>
      <c r="K38" s="9" t="str">
        <f>VLOOKUP(consultation[[#This Row],[ID_personnel]],personnel_1[],14,FALSE)</f>
        <v>42</v>
      </c>
    </row>
    <row r="39" spans="1:11" x14ac:dyDescent="0.3">
      <c r="A39" s="8">
        <v>38</v>
      </c>
      <c r="B39" s="9" t="s">
        <v>2724</v>
      </c>
      <c r="C39" s="10">
        <v>110</v>
      </c>
      <c r="D39" s="9" t="s">
        <v>2731</v>
      </c>
      <c r="E39" s="9"/>
      <c r="F39" s="8">
        <v>412</v>
      </c>
      <c r="G39" s="8">
        <v>970</v>
      </c>
      <c r="H39" s="8" t="str">
        <f>VLOOKUP(consultation[[#This Row],[ID_personnel]],personnel_1[],2,FALSE)&amp;" "&amp;VLOOKUP(consultation[[#This Row],[ID_personnel]],personnel_1[],3,FALSE)</f>
        <v>Cheryl Damiano</v>
      </c>
      <c r="I39" s="9" t="str">
        <f>VLOOKUP(consultation[[#This Row],[ID_patient]],patient[],2,FALSE)&amp;" "&amp;VLOOKUP(consultation[[#This Row],[ID_patient]],patient[],3,FALSE)</f>
        <v>Young Orval</v>
      </c>
      <c r="J39" s="9">
        <f>VLOOKUP(consultation[[#This Row],[ID_patient]],patient[],16,FALSE)</f>
        <v>2</v>
      </c>
      <c r="K39" s="9" t="str">
        <f>VLOOKUP(consultation[[#This Row],[ID_personnel]],personnel_1[],14,FALSE)</f>
        <v>67</v>
      </c>
    </row>
    <row r="40" spans="1:11" x14ac:dyDescent="0.3">
      <c r="A40" s="8">
        <v>39</v>
      </c>
      <c r="B40" s="9" t="s">
        <v>2733</v>
      </c>
      <c r="C40" s="10">
        <v>228</v>
      </c>
      <c r="D40" s="9" t="s">
        <v>2729</v>
      </c>
      <c r="E40" s="9"/>
      <c r="F40" s="8">
        <v>445</v>
      </c>
      <c r="G40" s="8">
        <v>979</v>
      </c>
      <c r="H40" s="8" t="str">
        <f>VLOOKUP(consultation[[#This Row],[ID_personnel]],personnel_1[],2,FALSE)&amp;" "&amp;VLOOKUP(consultation[[#This Row],[ID_personnel]],personnel_1[],3,FALSE)</f>
        <v>Éadaoin Baal</v>
      </c>
      <c r="I40" s="9" t="str">
        <f>VLOOKUP(consultation[[#This Row],[ID_patient]],patient[],2,FALSE)&amp;" "&amp;VLOOKUP(consultation[[#This Row],[ID_patient]],patient[],3,FALSE)</f>
        <v>Abby Ziyad</v>
      </c>
      <c r="J40" s="9">
        <f>VLOOKUP(consultation[[#This Row],[ID_patient]],patient[],16,FALSE)</f>
        <v>3</v>
      </c>
      <c r="K40" s="9" t="str">
        <f>VLOOKUP(consultation[[#This Row],[ID_personnel]],personnel_1[],14,FALSE)</f>
        <v>67</v>
      </c>
    </row>
    <row r="41" spans="1:11" x14ac:dyDescent="0.3">
      <c r="A41" s="8">
        <v>41</v>
      </c>
      <c r="B41" s="9" t="s">
        <v>2721</v>
      </c>
      <c r="C41" s="10">
        <v>17</v>
      </c>
      <c r="D41" s="9" t="s">
        <v>2727</v>
      </c>
      <c r="E41" s="9"/>
      <c r="F41" s="8">
        <v>335</v>
      </c>
      <c r="G41" s="8">
        <v>978</v>
      </c>
      <c r="H41" s="8" t="str">
        <f>VLOOKUP(consultation[[#This Row],[ID_personnel]],personnel_1[],2,FALSE)&amp;" "&amp;VLOOKUP(consultation[[#This Row],[ID_personnel]],personnel_1[],3,FALSE)</f>
        <v>Sarai Reggie</v>
      </c>
      <c r="I41" s="9" t="str">
        <f>VLOOKUP(consultation[[#This Row],[ID_patient]],patient[],2,FALSE)&amp;" "&amp;VLOOKUP(consultation[[#This Row],[ID_patient]],patient[],3,FALSE)</f>
        <v>Basma Janus</v>
      </c>
      <c r="J41" s="9">
        <f>VLOOKUP(consultation[[#This Row],[ID_patient]],patient[],16,FALSE)</f>
        <v>3</v>
      </c>
      <c r="K41" s="9" t="str">
        <f>VLOOKUP(consultation[[#This Row],[ID_personnel]],personnel_1[],14,FALSE)</f>
        <v>64</v>
      </c>
    </row>
    <row r="42" spans="1:11" x14ac:dyDescent="0.3">
      <c r="A42" s="8">
        <v>43</v>
      </c>
      <c r="B42" s="9" t="s">
        <v>2733</v>
      </c>
      <c r="C42" s="10">
        <v>181</v>
      </c>
      <c r="D42" s="9" t="s">
        <v>2731</v>
      </c>
      <c r="E42" s="9"/>
      <c r="F42" s="8">
        <v>530</v>
      </c>
      <c r="G42" s="8">
        <v>1007</v>
      </c>
      <c r="H42" s="8" t="str">
        <f>VLOOKUP(consultation[[#This Row],[ID_personnel]],personnel_1[],2,FALSE)&amp;" "&amp;VLOOKUP(consultation[[#This Row],[ID_personnel]],personnel_1[],3,FALSE)</f>
        <v>Merlin Zak</v>
      </c>
      <c r="I42" s="9" t="str">
        <f>VLOOKUP(consultation[[#This Row],[ID_patient]],patient[],2,FALSE)&amp;" "&amp;VLOOKUP(consultation[[#This Row],[ID_patient]],patient[],3,FALSE)</f>
        <v>Masood Cheyanne</v>
      </c>
      <c r="J42" s="9">
        <f>VLOOKUP(consultation[[#This Row],[ID_patient]],patient[],16,FALSE)</f>
        <v>1</v>
      </c>
      <c r="K42" s="9" t="str">
        <f>VLOOKUP(consultation[[#This Row],[ID_personnel]],personnel_1[],14,FALSE)</f>
        <v>45</v>
      </c>
    </row>
    <row r="43" spans="1:11" x14ac:dyDescent="0.3">
      <c r="A43" s="8">
        <v>44</v>
      </c>
      <c r="B43" s="9" t="s">
        <v>2721</v>
      </c>
      <c r="C43" s="10">
        <v>19</v>
      </c>
      <c r="D43" s="9" t="s">
        <v>2729</v>
      </c>
      <c r="E43" s="9"/>
      <c r="F43" s="8">
        <v>358</v>
      </c>
      <c r="G43" s="8">
        <v>1003</v>
      </c>
      <c r="H43" s="8" t="str">
        <f>VLOOKUP(consultation[[#This Row],[ID_personnel]],personnel_1[],2,FALSE)&amp;" "&amp;VLOOKUP(consultation[[#This Row],[ID_personnel]],personnel_1[],3,FALSE)</f>
        <v>Sorcha Peni</v>
      </c>
      <c r="I43" s="9" t="str">
        <f>VLOOKUP(consultation[[#This Row],[ID_patient]],patient[],2,FALSE)&amp;" "&amp;VLOOKUP(consultation[[#This Row],[ID_patient]],patient[],3,FALSE)</f>
        <v>Gobind Florine</v>
      </c>
      <c r="J43" s="9">
        <f>VLOOKUP(consultation[[#This Row],[ID_patient]],patient[],16,FALSE)</f>
        <v>2</v>
      </c>
      <c r="K43" s="9" t="str">
        <f>VLOOKUP(consultation[[#This Row],[ID_personnel]],personnel_1[],14,FALSE)</f>
        <v>69</v>
      </c>
    </row>
    <row r="44" spans="1:11" x14ac:dyDescent="0.3">
      <c r="A44" s="8">
        <v>45</v>
      </c>
      <c r="B44" s="9" t="s">
        <v>2721</v>
      </c>
      <c r="C44" s="10">
        <v>177</v>
      </c>
      <c r="D44" s="9" t="s">
        <v>2722</v>
      </c>
      <c r="E44" s="9"/>
      <c r="F44" s="8">
        <v>560</v>
      </c>
      <c r="G44" s="8">
        <v>910</v>
      </c>
      <c r="H44" s="8" t="str">
        <f>VLOOKUP(consultation[[#This Row],[ID_personnel]],personnel_1[],2,FALSE)&amp;" "&amp;VLOOKUP(consultation[[#This Row],[ID_personnel]],personnel_1[],3,FALSE)</f>
        <v>Spiros Sylvana</v>
      </c>
      <c r="I44" s="9" t="str">
        <f>VLOOKUP(consultation[[#This Row],[ID_patient]],patient[],2,FALSE)&amp;" "&amp;VLOOKUP(consultation[[#This Row],[ID_patient]],patient[],3,FALSE)</f>
        <v>Matej Kunigunde</v>
      </c>
      <c r="J44" s="9">
        <f>VLOOKUP(consultation[[#This Row],[ID_patient]],patient[],16,FALSE)</f>
        <v>3</v>
      </c>
      <c r="K44" s="9" t="str">
        <f>VLOOKUP(consultation[[#This Row],[ID_personnel]],personnel_1[],14,FALSE)</f>
        <v>51</v>
      </c>
    </row>
    <row r="45" spans="1:11" x14ac:dyDescent="0.3">
      <c r="A45" s="8">
        <v>46</v>
      </c>
      <c r="B45" s="9" t="s">
        <v>2724</v>
      </c>
      <c r="C45" s="10">
        <v>160</v>
      </c>
      <c r="D45" s="9" t="s">
        <v>2723</v>
      </c>
      <c r="E45" s="9"/>
      <c r="F45" s="8">
        <v>485</v>
      </c>
      <c r="G45" s="8">
        <v>998</v>
      </c>
      <c r="H45" s="8" t="str">
        <f>VLOOKUP(consultation[[#This Row],[ID_personnel]],personnel_1[],2,FALSE)&amp;" "&amp;VLOOKUP(consultation[[#This Row],[ID_personnel]],personnel_1[],3,FALSE)</f>
        <v>Herk Bernadette</v>
      </c>
      <c r="I45" s="9" t="str">
        <f>VLOOKUP(consultation[[#This Row],[ID_patient]],patient[],2,FALSE)&amp;" "&amp;VLOOKUP(consultation[[#This Row],[ID_patient]],patient[],3,FALSE)</f>
        <v>Gianmaria Alfons</v>
      </c>
      <c r="J45" s="9">
        <f>VLOOKUP(consultation[[#This Row],[ID_patient]],patient[],16,FALSE)</f>
        <v>1</v>
      </c>
      <c r="K45" s="9" t="str">
        <f>VLOOKUP(consultation[[#This Row],[ID_personnel]],personnel_1[],14,FALSE)</f>
        <v>68</v>
      </c>
    </row>
    <row r="46" spans="1:11" x14ac:dyDescent="0.3">
      <c r="A46" s="8">
        <v>47</v>
      </c>
      <c r="B46" s="9" t="s">
        <v>2733</v>
      </c>
      <c r="C46" s="10">
        <v>151</v>
      </c>
      <c r="D46" s="9" t="s">
        <v>2725</v>
      </c>
      <c r="E46" s="9"/>
      <c r="F46" s="8">
        <v>412</v>
      </c>
      <c r="G46" s="8">
        <v>951</v>
      </c>
      <c r="H46" s="8" t="str">
        <f>VLOOKUP(consultation[[#This Row],[ID_personnel]],personnel_1[],2,FALSE)&amp;" "&amp;VLOOKUP(consultation[[#This Row],[ID_personnel]],personnel_1[],3,FALSE)</f>
        <v>Rufino Jaylin</v>
      </c>
      <c r="I46" s="9" t="str">
        <f>VLOOKUP(consultation[[#This Row],[ID_patient]],patient[],2,FALSE)&amp;" "&amp;VLOOKUP(consultation[[#This Row],[ID_patient]],patient[],3,FALSE)</f>
        <v>Young Orval</v>
      </c>
      <c r="J46" s="9">
        <f>VLOOKUP(consultation[[#This Row],[ID_patient]],patient[],16,FALSE)</f>
        <v>2</v>
      </c>
      <c r="K46" s="9" t="str">
        <f>VLOOKUP(consultation[[#This Row],[ID_personnel]],personnel_1[],14,FALSE)</f>
        <v>67</v>
      </c>
    </row>
    <row r="47" spans="1:11" x14ac:dyDescent="0.3">
      <c r="A47" s="8">
        <v>48</v>
      </c>
      <c r="B47" s="9" t="s">
        <v>2721</v>
      </c>
      <c r="C47" s="10">
        <v>171</v>
      </c>
      <c r="D47" s="9" t="s">
        <v>2723</v>
      </c>
      <c r="E47" s="9"/>
      <c r="F47" s="8">
        <v>408</v>
      </c>
      <c r="G47" s="8">
        <v>897</v>
      </c>
      <c r="H47" s="8" t="str">
        <f>VLOOKUP(consultation[[#This Row],[ID_personnel]],personnel_1[],2,FALSE)&amp;" "&amp;VLOOKUP(consultation[[#This Row],[ID_personnel]],personnel_1[],3,FALSE)</f>
        <v>Linford Yaffa</v>
      </c>
      <c r="I47" s="9" t="str">
        <f>VLOOKUP(consultation[[#This Row],[ID_patient]],patient[],2,FALSE)&amp;" "&amp;VLOOKUP(consultation[[#This Row],[ID_patient]],patient[],3,FALSE)</f>
        <v>Shelley Wawrzyniec</v>
      </c>
      <c r="J47" s="9">
        <f>VLOOKUP(consultation[[#This Row],[ID_patient]],patient[],16,FALSE)</f>
        <v>3</v>
      </c>
      <c r="K47" s="9" t="str">
        <f>VLOOKUP(consultation[[#This Row],[ID_personnel]],personnel_1[],14,FALSE)</f>
        <v>71</v>
      </c>
    </row>
    <row r="48" spans="1:11" x14ac:dyDescent="0.3">
      <c r="A48" s="8">
        <v>49</v>
      </c>
      <c r="B48" s="9" t="s">
        <v>2721</v>
      </c>
      <c r="C48" s="10">
        <v>80</v>
      </c>
      <c r="D48" s="9" t="s">
        <v>2722</v>
      </c>
      <c r="E48" s="9"/>
      <c r="F48" s="8">
        <v>609</v>
      </c>
      <c r="G48" s="8">
        <v>979</v>
      </c>
      <c r="H48" s="8" t="str">
        <f>VLOOKUP(consultation[[#This Row],[ID_personnel]],personnel_1[],2,FALSE)&amp;" "&amp;VLOOKUP(consultation[[#This Row],[ID_personnel]],personnel_1[],3,FALSE)</f>
        <v>Éadaoin Baal</v>
      </c>
      <c r="I48" s="9" t="str">
        <f>VLOOKUP(consultation[[#This Row],[ID_patient]],patient[],2,FALSE)&amp;" "&amp;VLOOKUP(consultation[[#This Row],[ID_patient]],patient[],3,FALSE)</f>
        <v>Toribio Ayishah</v>
      </c>
      <c r="J48" s="9">
        <f>VLOOKUP(consultation[[#This Row],[ID_patient]],patient[],16,FALSE)</f>
        <v>2</v>
      </c>
      <c r="K48" s="9" t="str">
        <f>VLOOKUP(consultation[[#This Row],[ID_personnel]],personnel_1[],14,FALSE)</f>
        <v>67</v>
      </c>
    </row>
    <row r="49" spans="1:11" x14ac:dyDescent="0.3">
      <c r="A49" s="8">
        <v>50</v>
      </c>
      <c r="B49" s="9" t="s">
        <v>2721</v>
      </c>
      <c r="C49" s="10">
        <v>133</v>
      </c>
      <c r="D49" s="9" t="s">
        <v>2728</v>
      </c>
      <c r="E49" s="9"/>
      <c r="F49" s="8">
        <v>508</v>
      </c>
      <c r="G49" s="8">
        <v>940</v>
      </c>
      <c r="H49" s="8" t="str">
        <f>VLOOKUP(consultation[[#This Row],[ID_personnel]],personnel_1[],2,FALSE)&amp;" "&amp;VLOOKUP(consultation[[#This Row],[ID_personnel]],personnel_1[],3,FALSE)</f>
        <v>Laraine Mykhaylo</v>
      </c>
      <c r="I49" s="9" t="str">
        <f>VLOOKUP(consultation[[#This Row],[ID_patient]],patient[],2,FALSE)&amp;" "&amp;VLOOKUP(consultation[[#This Row],[ID_patient]],patient[],3,FALSE)</f>
        <v>Agneta Ouranos</v>
      </c>
      <c r="J49" s="9">
        <f>VLOOKUP(consultation[[#This Row],[ID_patient]],patient[],16,FALSE)</f>
        <v>3</v>
      </c>
      <c r="K49" s="9" t="str">
        <f>VLOOKUP(consultation[[#This Row],[ID_personnel]],personnel_1[],14,FALSE)</f>
        <v>60</v>
      </c>
    </row>
    <row r="50" spans="1:11" x14ac:dyDescent="0.3">
      <c r="A50" s="8">
        <v>51</v>
      </c>
      <c r="B50" s="9" t="s">
        <v>2721</v>
      </c>
      <c r="C50" s="10">
        <v>213</v>
      </c>
      <c r="D50" s="9" t="s">
        <v>2732</v>
      </c>
      <c r="E50" s="9"/>
      <c r="F50" s="8">
        <v>498</v>
      </c>
      <c r="G50" s="8">
        <v>1009</v>
      </c>
      <c r="H50" s="8" t="str">
        <f>VLOOKUP(consultation[[#This Row],[ID_personnel]],personnel_1[],2,FALSE)&amp;" "&amp;VLOOKUP(consultation[[#This Row],[ID_personnel]],personnel_1[],3,FALSE)</f>
        <v>Solvig Nerissa</v>
      </c>
      <c r="I50" s="9" t="str">
        <f>VLOOKUP(consultation[[#This Row],[ID_patient]],patient[],2,FALSE)&amp;" "&amp;VLOOKUP(consultation[[#This Row],[ID_patient]],patient[],3,FALSE)</f>
        <v>Arienne Tristão</v>
      </c>
      <c r="J50" s="9">
        <f>VLOOKUP(consultation[[#This Row],[ID_patient]],patient[],16,FALSE)</f>
        <v>3</v>
      </c>
      <c r="K50" s="9" t="str">
        <f>VLOOKUP(consultation[[#This Row],[ID_personnel]],personnel_1[],14,FALSE)</f>
        <v>65</v>
      </c>
    </row>
    <row r="51" spans="1:11" x14ac:dyDescent="0.3">
      <c r="A51" s="8">
        <v>52</v>
      </c>
      <c r="B51" s="9" t="s">
        <v>2724</v>
      </c>
      <c r="C51" s="10">
        <v>111</v>
      </c>
      <c r="D51" s="9" t="s">
        <v>2722</v>
      </c>
      <c r="E51" s="9"/>
      <c r="F51" s="8">
        <v>333</v>
      </c>
      <c r="G51" s="8">
        <v>908</v>
      </c>
      <c r="H51" s="8" t="str">
        <f>VLOOKUP(consultation[[#This Row],[ID_personnel]],personnel_1[],2,FALSE)&amp;" "&amp;VLOOKUP(consultation[[#This Row],[ID_personnel]],personnel_1[],3,FALSE)</f>
        <v>Éadaoin Baal</v>
      </c>
      <c r="I51" s="9" t="str">
        <f>VLOOKUP(consultation[[#This Row],[ID_patient]],patient[],2,FALSE)&amp;" "&amp;VLOOKUP(consultation[[#This Row],[ID_patient]],patient[],3,FALSE)</f>
        <v>Otis Mirjam</v>
      </c>
      <c r="J51" s="9">
        <f>VLOOKUP(consultation[[#This Row],[ID_patient]],patient[],16,FALSE)</f>
        <v>3</v>
      </c>
      <c r="K51" s="9" t="str">
        <f>VLOOKUP(consultation[[#This Row],[ID_personnel]],personnel_1[],14,FALSE)</f>
        <v>67</v>
      </c>
    </row>
    <row r="52" spans="1:11" x14ac:dyDescent="0.3">
      <c r="A52" s="8">
        <v>54</v>
      </c>
      <c r="B52" s="9" t="s">
        <v>2724</v>
      </c>
      <c r="C52" s="10">
        <v>188</v>
      </c>
      <c r="D52" s="9" t="s">
        <v>2729</v>
      </c>
      <c r="E52" s="9"/>
      <c r="F52" s="8">
        <v>466</v>
      </c>
      <c r="G52" s="8">
        <v>1011</v>
      </c>
      <c r="H52" s="8" t="str">
        <f>VLOOKUP(consultation[[#This Row],[ID_personnel]],personnel_1[],2,FALSE)&amp;" "&amp;VLOOKUP(consultation[[#This Row],[ID_personnel]],personnel_1[],3,FALSE)</f>
        <v>Laraine Mykhaylo</v>
      </c>
      <c r="I52" s="9" t="str">
        <f>VLOOKUP(consultation[[#This Row],[ID_patient]],patient[],2,FALSE)&amp;" "&amp;VLOOKUP(consultation[[#This Row],[ID_patient]],patient[],3,FALSE)</f>
        <v>Rachelle Iikka</v>
      </c>
      <c r="J52" s="9">
        <f>VLOOKUP(consultation[[#This Row],[ID_patient]],patient[],16,FALSE)</f>
        <v>2</v>
      </c>
      <c r="K52" s="9" t="str">
        <f>VLOOKUP(consultation[[#This Row],[ID_personnel]],personnel_1[],14,FALSE)</f>
        <v>60</v>
      </c>
    </row>
    <row r="53" spans="1:11" x14ac:dyDescent="0.3">
      <c r="A53" s="8">
        <v>55</v>
      </c>
      <c r="B53" s="9" t="s">
        <v>2733</v>
      </c>
      <c r="C53" s="10">
        <v>66</v>
      </c>
      <c r="D53" s="9" t="s">
        <v>2725</v>
      </c>
      <c r="E53" s="9"/>
      <c r="F53" s="8">
        <v>629</v>
      </c>
      <c r="G53" s="8">
        <v>890</v>
      </c>
      <c r="H53" s="8" t="str">
        <f>VLOOKUP(consultation[[#This Row],[ID_personnel]],personnel_1[],2,FALSE)&amp;" "&amp;VLOOKUP(consultation[[#This Row],[ID_personnel]],personnel_1[],3,FALSE)</f>
        <v>Miranda Tina</v>
      </c>
      <c r="I53" s="9" t="str">
        <f>VLOOKUP(consultation[[#This Row],[ID_patient]],patient[],2,FALSE)&amp;" "&amp;VLOOKUP(consultation[[#This Row],[ID_patient]],patient[],3,FALSE)</f>
        <v>Pearle Bautista</v>
      </c>
      <c r="J53" s="9">
        <f>VLOOKUP(consultation[[#This Row],[ID_patient]],patient[],16,FALSE)</f>
        <v>2</v>
      </c>
      <c r="K53" s="9" t="str">
        <f>VLOOKUP(consultation[[#This Row],[ID_personnel]],personnel_1[],14,FALSE)</f>
        <v>71</v>
      </c>
    </row>
    <row r="54" spans="1:11" x14ac:dyDescent="0.3">
      <c r="A54" s="8">
        <v>56</v>
      </c>
      <c r="B54" s="9" t="s">
        <v>2724</v>
      </c>
      <c r="C54" s="10">
        <v>225</v>
      </c>
      <c r="D54" s="9" t="s">
        <v>2729</v>
      </c>
      <c r="E54" s="9"/>
      <c r="F54" s="8">
        <v>395</v>
      </c>
      <c r="G54" s="8">
        <v>949</v>
      </c>
      <c r="H54" s="8" t="str">
        <f>VLOOKUP(consultation[[#This Row],[ID_personnel]],personnel_1[],2,FALSE)&amp;" "&amp;VLOOKUP(consultation[[#This Row],[ID_personnel]],personnel_1[],3,FALSE)</f>
        <v>Paulene Alease</v>
      </c>
      <c r="I54" s="9" t="str">
        <f>VLOOKUP(consultation[[#This Row],[ID_patient]],patient[],2,FALSE)&amp;" "&amp;VLOOKUP(consultation[[#This Row],[ID_patient]],patient[],3,FALSE)</f>
        <v>Orna Modesto</v>
      </c>
      <c r="J54" s="9">
        <f>VLOOKUP(consultation[[#This Row],[ID_patient]],patient[],16,FALSE)</f>
        <v>3</v>
      </c>
      <c r="K54" s="9" t="str">
        <f>VLOOKUP(consultation[[#This Row],[ID_personnel]],personnel_1[],14,FALSE)</f>
        <v>68</v>
      </c>
    </row>
    <row r="55" spans="1:11" x14ac:dyDescent="0.3">
      <c r="A55" s="8">
        <v>57</v>
      </c>
      <c r="B55" s="9" t="s">
        <v>2721</v>
      </c>
      <c r="C55" s="10">
        <v>226</v>
      </c>
      <c r="D55" s="9" t="s">
        <v>2727</v>
      </c>
      <c r="E55" s="9"/>
      <c r="F55" s="8">
        <v>628</v>
      </c>
      <c r="G55" s="8">
        <v>1016</v>
      </c>
      <c r="H55" s="8" t="str">
        <f>VLOOKUP(consultation[[#This Row],[ID_personnel]],personnel_1[],2,FALSE)&amp;" "&amp;VLOOKUP(consultation[[#This Row],[ID_personnel]],personnel_1[],3,FALSE)</f>
        <v>Dido Ciaran</v>
      </c>
      <c r="I55" s="9" t="str">
        <f>VLOOKUP(consultation[[#This Row],[ID_patient]],patient[],2,FALSE)&amp;" "&amp;VLOOKUP(consultation[[#This Row],[ID_patient]],patient[],3,FALSE)</f>
        <v>Byrne Selena</v>
      </c>
      <c r="J55" s="9">
        <f>VLOOKUP(consultation[[#This Row],[ID_patient]],patient[],16,FALSE)</f>
        <v>3</v>
      </c>
      <c r="K55" s="9" t="str">
        <f>VLOOKUP(consultation[[#This Row],[ID_personnel]],personnel_1[],14,FALSE)</f>
        <v>83</v>
      </c>
    </row>
    <row r="56" spans="1:11" x14ac:dyDescent="0.3">
      <c r="A56" s="8">
        <v>58</v>
      </c>
      <c r="B56" s="9" t="s">
        <v>2721</v>
      </c>
      <c r="C56" s="10">
        <v>39</v>
      </c>
      <c r="D56" s="9" t="s">
        <v>2729</v>
      </c>
      <c r="E56" s="9"/>
      <c r="F56" s="8">
        <v>601</v>
      </c>
      <c r="G56" s="8">
        <v>903</v>
      </c>
      <c r="H56" s="8" t="str">
        <f>VLOOKUP(consultation[[#This Row],[ID_personnel]],personnel_1[],2,FALSE)&amp;" "&amp;VLOOKUP(consultation[[#This Row],[ID_personnel]],personnel_1[],3,FALSE)</f>
        <v>Hammond Lan</v>
      </c>
      <c r="I56" s="9" t="str">
        <f>VLOOKUP(consultation[[#This Row],[ID_patient]],patient[],2,FALSE)&amp;" "&amp;VLOOKUP(consultation[[#This Row],[ID_patient]],patient[],3,FALSE)</f>
        <v>Hiltrud Leonardo</v>
      </c>
      <c r="J56" s="9">
        <f>VLOOKUP(consultation[[#This Row],[ID_patient]],patient[],16,FALSE)</f>
        <v>3</v>
      </c>
      <c r="K56" s="9" t="str">
        <f>VLOOKUP(consultation[[#This Row],[ID_personnel]],personnel_1[],14,FALSE)</f>
        <v>67</v>
      </c>
    </row>
    <row r="57" spans="1:11" x14ac:dyDescent="0.3">
      <c r="A57" s="8">
        <v>59</v>
      </c>
      <c r="B57" s="9" t="s">
        <v>2733</v>
      </c>
      <c r="C57" s="10">
        <v>91</v>
      </c>
      <c r="D57" s="9" t="s">
        <v>2728</v>
      </c>
      <c r="E57" s="9"/>
      <c r="F57" s="8">
        <v>343</v>
      </c>
      <c r="G57" s="8">
        <v>980</v>
      </c>
      <c r="H57" s="8" t="str">
        <f>VLOOKUP(consultation[[#This Row],[ID_personnel]],personnel_1[],2,FALSE)&amp;" "&amp;VLOOKUP(consultation[[#This Row],[ID_personnel]],personnel_1[],3,FALSE)</f>
        <v>Sophie Carlton</v>
      </c>
      <c r="I57" s="9" t="str">
        <f>VLOOKUP(consultation[[#This Row],[ID_patient]],patient[],2,FALSE)&amp;" "&amp;VLOOKUP(consultation[[#This Row],[ID_patient]],patient[],3,FALSE)</f>
        <v>Sini Krystine</v>
      </c>
      <c r="J57" s="9">
        <f>VLOOKUP(consultation[[#This Row],[ID_patient]],patient[],16,FALSE)</f>
        <v>1</v>
      </c>
      <c r="K57" s="9" t="str">
        <f>VLOOKUP(consultation[[#This Row],[ID_personnel]],personnel_1[],14,FALSE)</f>
        <v>51</v>
      </c>
    </row>
    <row r="58" spans="1:11" x14ac:dyDescent="0.3">
      <c r="A58" s="8">
        <v>60</v>
      </c>
      <c r="B58" s="9" t="s">
        <v>2733</v>
      </c>
      <c r="C58" s="10">
        <v>217</v>
      </c>
      <c r="D58" s="9" t="s">
        <v>2722</v>
      </c>
      <c r="E58" s="9"/>
      <c r="F58" s="8">
        <v>608</v>
      </c>
      <c r="G58" s="8">
        <v>899</v>
      </c>
      <c r="H58" s="8" t="str">
        <f>VLOOKUP(consultation[[#This Row],[ID_personnel]],personnel_1[],2,FALSE)&amp;" "&amp;VLOOKUP(consultation[[#This Row],[ID_personnel]],personnel_1[],3,FALSE)</f>
        <v>Cheryl Damiano</v>
      </c>
      <c r="I58" s="9" t="str">
        <f>VLOOKUP(consultation[[#This Row],[ID_patient]],patient[],2,FALSE)&amp;" "&amp;VLOOKUP(consultation[[#This Row],[ID_patient]],patient[],3,FALSE)</f>
        <v>Salvatore Zelpah</v>
      </c>
      <c r="J58" s="9">
        <f>VLOOKUP(consultation[[#This Row],[ID_patient]],patient[],16,FALSE)</f>
        <v>3</v>
      </c>
      <c r="K58" s="9" t="str">
        <f>VLOOKUP(consultation[[#This Row],[ID_personnel]],personnel_1[],14,FALSE)</f>
        <v>67</v>
      </c>
    </row>
    <row r="59" spans="1:11" x14ac:dyDescent="0.3">
      <c r="A59" s="8">
        <v>61</v>
      </c>
      <c r="B59" s="9" t="s">
        <v>2724</v>
      </c>
      <c r="C59" s="10">
        <v>103</v>
      </c>
      <c r="D59" s="9" t="s">
        <v>2726</v>
      </c>
      <c r="E59" s="9"/>
      <c r="F59" s="8">
        <v>435</v>
      </c>
      <c r="G59" s="8">
        <v>917</v>
      </c>
      <c r="H59" s="8" t="str">
        <f>VLOOKUP(consultation[[#This Row],[ID_personnel]],personnel_1[],2,FALSE)&amp;" "&amp;VLOOKUP(consultation[[#This Row],[ID_personnel]],personnel_1[],3,FALSE)</f>
        <v>Fatima Kourtney</v>
      </c>
      <c r="I59" s="9" t="str">
        <f>VLOOKUP(consultation[[#This Row],[ID_patient]],patient[],2,FALSE)&amp;" "&amp;VLOOKUP(consultation[[#This Row],[ID_patient]],patient[],3,FALSE)</f>
        <v>Awotwi Milogost</v>
      </c>
      <c r="J59" s="9">
        <f>VLOOKUP(consultation[[#This Row],[ID_patient]],patient[],16,FALSE)</f>
        <v>3</v>
      </c>
      <c r="K59" s="9" t="str">
        <f>VLOOKUP(consultation[[#This Row],[ID_personnel]],personnel_1[],14,FALSE)</f>
        <v>41</v>
      </c>
    </row>
    <row r="60" spans="1:11" x14ac:dyDescent="0.3">
      <c r="A60" s="8">
        <v>62</v>
      </c>
      <c r="B60" s="9" t="s">
        <v>2733</v>
      </c>
      <c r="C60" s="10">
        <v>33</v>
      </c>
      <c r="D60" s="9" t="s">
        <v>2730</v>
      </c>
      <c r="E60" s="9"/>
      <c r="F60" s="8">
        <v>628</v>
      </c>
      <c r="G60" s="8">
        <v>973</v>
      </c>
      <c r="H60" s="8" t="str">
        <f>VLOOKUP(consultation[[#This Row],[ID_personnel]],personnel_1[],2,FALSE)&amp;" "&amp;VLOOKUP(consultation[[#This Row],[ID_personnel]],personnel_1[],3,FALSE)</f>
        <v>Eduard Madoline</v>
      </c>
      <c r="I60" s="9" t="str">
        <f>VLOOKUP(consultation[[#This Row],[ID_patient]],patient[],2,FALSE)&amp;" "&amp;VLOOKUP(consultation[[#This Row],[ID_patient]],patient[],3,FALSE)</f>
        <v>Byrne Selena</v>
      </c>
      <c r="J60" s="9">
        <f>VLOOKUP(consultation[[#This Row],[ID_patient]],patient[],16,FALSE)</f>
        <v>3</v>
      </c>
      <c r="K60" s="9" t="str">
        <f>VLOOKUP(consultation[[#This Row],[ID_personnel]],personnel_1[],14,FALSE)</f>
        <v>49</v>
      </c>
    </row>
    <row r="61" spans="1:11" x14ac:dyDescent="0.3">
      <c r="A61" s="8">
        <v>63</v>
      </c>
      <c r="B61" s="9" t="s">
        <v>2733</v>
      </c>
      <c r="C61" s="10">
        <v>166</v>
      </c>
      <c r="D61" s="9" t="s">
        <v>2728</v>
      </c>
      <c r="E61" s="9"/>
      <c r="F61" s="8">
        <v>530</v>
      </c>
      <c r="G61" s="8">
        <v>963</v>
      </c>
      <c r="H61" s="8" t="str">
        <f>VLOOKUP(consultation[[#This Row],[ID_personnel]],personnel_1[],2,FALSE)&amp;" "&amp;VLOOKUP(consultation[[#This Row],[ID_personnel]],personnel_1[],3,FALSE)</f>
        <v>Wojciech Fachtna</v>
      </c>
      <c r="I61" s="9" t="str">
        <f>VLOOKUP(consultation[[#This Row],[ID_patient]],patient[],2,FALSE)&amp;" "&amp;VLOOKUP(consultation[[#This Row],[ID_patient]],patient[],3,FALSE)</f>
        <v>Masood Cheyanne</v>
      </c>
      <c r="J61" s="9">
        <f>VLOOKUP(consultation[[#This Row],[ID_patient]],patient[],16,FALSE)</f>
        <v>1</v>
      </c>
      <c r="K61" s="9" t="str">
        <f>VLOOKUP(consultation[[#This Row],[ID_personnel]],personnel_1[],14,FALSE)</f>
        <v>66</v>
      </c>
    </row>
    <row r="62" spans="1:11" x14ac:dyDescent="0.3">
      <c r="A62" s="8">
        <v>64</v>
      </c>
      <c r="B62" s="9" t="s">
        <v>2724</v>
      </c>
      <c r="C62" s="10">
        <v>178</v>
      </c>
      <c r="D62" s="9" t="s">
        <v>2731</v>
      </c>
      <c r="E62" s="9"/>
      <c r="F62" s="8">
        <v>441</v>
      </c>
      <c r="G62" s="8">
        <v>989</v>
      </c>
      <c r="H62" s="8" t="str">
        <f>VLOOKUP(consultation[[#This Row],[ID_personnel]],personnel_1[],2,FALSE)&amp;" "&amp;VLOOKUP(consultation[[#This Row],[ID_personnel]],personnel_1[],3,FALSE)</f>
        <v>Chad Theodoric</v>
      </c>
      <c r="I62" s="9" t="str">
        <f>VLOOKUP(consultation[[#This Row],[ID_patient]],patient[],2,FALSE)&amp;" "&amp;VLOOKUP(consultation[[#This Row],[ID_patient]],patient[],3,FALSE)</f>
        <v>Janna Muirín</v>
      </c>
      <c r="J62" s="9">
        <f>VLOOKUP(consultation[[#This Row],[ID_patient]],patient[],16,FALSE)</f>
        <v>3</v>
      </c>
      <c r="K62" s="9" t="str">
        <f>VLOOKUP(consultation[[#This Row],[ID_personnel]],personnel_1[],14,FALSE)</f>
        <v>69</v>
      </c>
    </row>
    <row r="63" spans="1:11" x14ac:dyDescent="0.3">
      <c r="A63" s="8">
        <v>65</v>
      </c>
      <c r="B63" s="9" t="s">
        <v>2724</v>
      </c>
      <c r="C63" s="10">
        <v>200</v>
      </c>
      <c r="D63" s="9" t="s">
        <v>2728</v>
      </c>
      <c r="E63" s="9"/>
      <c r="F63" s="8">
        <v>405</v>
      </c>
      <c r="G63" s="8">
        <v>1022</v>
      </c>
      <c r="H63" s="8" t="str">
        <f>VLOOKUP(consultation[[#This Row],[ID_personnel]],personnel_1[],2,FALSE)&amp;" "&amp;VLOOKUP(consultation[[#This Row],[ID_personnel]],personnel_1[],3,FALSE)</f>
        <v>Rufino Jaylin</v>
      </c>
      <c r="I63" s="9" t="str">
        <f>VLOOKUP(consultation[[#This Row],[ID_patient]],patient[],2,FALSE)&amp;" "&amp;VLOOKUP(consultation[[#This Row],[ID_patient]],patient[],3,FALSE)</f>
        <v>Mimi Elva</v>
      </c>
      <c r="J63" s="9">
        <f>VLOOKUP(consultation[[#This Row],[ID_patient]],patient[],16,FALSE)</f>
        <v>2</v>
      </c>
      <c r="K63" s="9" t="str">
        <f>VLOOKUP(consultation[[#This Row],[ID_personnel]],personnel_1[],14,FALSE)</f>
        <v>67</v>
      </c>
    </row>
    <row r="64" spans="1:11" x14ac:dyDescent="0.3">
      <c r="A64" s="8">
        <v>66</v>
      </c>
      <c r="B64" s="9" t="s">
        <v>2724</v>
      </c>
      <c r="C64" s="10">
        <v>157</v>
      </c>
      <c r="D64" s="9" t="s">
        <v>2729</v>
      </c>
      <c r="E64" s="9"/>
      <c r="F64" s="8">
        <v>658</v>
      </c>
      <c r="G64" s="8">
        <v>910</v>
      </c>
      <c r="H64" s="8" t="str">
        <f>VLOOKUP(consultation[[#This Row],[ID_personnel]],personnel_1[],2,FALSE)&amp;" "&amp;VLOOKUP(consultation[[#This Row],[ID_personnel]],personnel_1[],3,FALSE)</f>
        <v>Spiros Sylvana</v>
      </c>
      <c r="I64" s="9" t="str">
        <f>VLOOKUP(consultation[[#This Row],[ID_patient]],patient[],2,FALSE)&amp;" "&amp;VLOOKUP(consultation[[#This Row],[ID_patient]],patient[],3,FALSE)</f>
        <v>Joost Minako</v>
      </c>
      <c r="J64" s="9">
        <f>VLOOKUP(consultation[[#This Row],[ID_patient]],patient[],16,FALSE)</f>
        <v>1</v>
      </c>
      <c r="K64" s="9" t="str">
        <f>VLOOKUP(consultation[[#This Row],[ID_personnel]],personnel_1[],14,FALSE)</f>
        <v>51</v>
      </c>
    </row>
    <row r="65" spans="1:11" x14ac:dyDescent="0.3">
      <c r="A65" s="8">
        <v>67</v>
      </c>
      <c r="B65" s="9" t="s">
        <v>2724</v>
      </c>
      <c r="C65" s="10">
        <v>208</v>
      </c>
      <c r="D65" s="9" t="s">
        <v>2725</v>
      </c>
      <c r="E65" s="9"/>
      <c r="F65" s="8">
        <v>576</v>
      </c>
      <c r="G65" s="8">
        <v>1023</v>
      </c>
      <c r="H65" s="8" t="str">
        <f>VLOOKUP(consultation[[#This Row],[ID_personnel]],personnel_1[],2,FALSE)&amp;" "&amp;VLOOKUP(consultation[[#This Row],[ID_personnel]],personnel_1[],3,FALSE)</f>
        <v>Tormod Joost</v>
      </c>
      <c r="I65" s="9" t="str">
        <f>VLOOKUP(consultation[[#This Row],[ID_patient]],patient[],2,FALSE)&amp;" "&amp;VLOOKUP(consultation[[#This Row],[ID_patient]],patient[],3,FALSE)</f>
        <v>Tracy Aias</v>
      </c>
      <c r="J65" s="9">
        <f>VLOOKUP(consultation[[#This Row],[ID_patient]],patient[],16,FALSE)</f>
        <v>2</v>
      </c>
      <c r="K65" s="9" t="str">
        <f>VLOOKUP(consultation[[#This Row],[ID_personnel]],personnel_1[],14,FALSE)</f>
        <v>80</v>
      </c>
    </row>
    <row r="66" spans="1:11" x14ac:dyDescent="0.3">
      <c r="A66" s="8">
        <v>68</v>
      </c>
      <c r="B66" s="9" t="s">
        <v>2721</v>
      </c>
      <c r="C66" s="10">
        <v>10</v>
      </c>
      <c r="D66" s="9" t="s">
        <v>2722</v>
      </c>
      <c r="E66" s="9"/>
      <c r="F66" s="8">
        <v>395</v>
      </c>
      <c r="G66" s="8">
        <v>950</v>
      </c>
      <c r="H66" s="8" t="str">
        <f>VLOOKUP(consultation[[#This Row],[ID_personnel]],personnel_1[],2,FALSE)&amp;" "&amp;VLOOKUP(consultation[[#This Row],[ID_personnel]],personnel_1[],3,FALSE)</f>
        <v>Ásdís Amie</v>
      </c>
      <c r="I66" s="9" t="str">
        <f>VLOOKUP(consultation[[#This Row],[ID_patient]],patient[],2,FALSE)&amp;" "&amp;VLOOKUP(consultation[[#This Row],[ID_patient]],patient[],3,FALSE)</f>
        <v>Orna Modesto</v>
      </c>
      <c r="J66" s="9">
        <f>VLOOKUP(consultation[[#This Row],[ID_patient]],patient[],16,FALSE)</f>
        <v>3</v>
      </c>
      <c r="K66" s="9" t="str">
        <f>VLOOKUP(consultation[[#This Row],[ID_personnel]],personnel_1[],14,FALSE)</f>
        <v>68</v>
      </c>
    </row>
    <row r="67" spans="1:11" x14ac:dyDescent="0.3">
      <c r="A67" s="8">
        <v>69</v>
      </c>
      <c r="B67" s="9" t="s">
        <v>2721</v>
      </c>
      <c r="C67" s="10">
        <v>56</v>
      </c>
      <c r="D67" s="9" t="s">
        <v>2722</v>
      </c>
      <c r="E67" s="9"/>
      <c r="F67" s="8">
        <v>409</v>
      </c>
      <c r="G67" s="8">
        <v>1016</v>
      </c>
      <c r="H67" s="8" t="str">
        <f>VLOOKUP(consultation[[#This Row],[ID_personnel]],personnel_1[],2,FALSE)&amp;" "&amp;VLOOKUP(consultation[[#This Row],[ID_personnel]],personnel_1[],3,FALSE)</f>
        <v>Dido Ciaran</v>
      </c>
      <c r="I67" s="9" t="str">
        <f>VLOOKUP(consultation[[#This Row],[ID_patient]],patient[],2,FALSE)&amp;" "&amp;VLOOKUP(consultation[[#This Row],[ID_patient]],patient[],3,FALSE)</f>
        <v>Chandler Gaila</v>
      </c>
      <c r="J67" s="9">
        <f>VLOOKUP(consultation[[#This Row],[ID_patient]],patient[],16,FALSE)</f>
        <v>3</v>
      </c>
      <c r="K67" s="9" t="str">
        <f>VLOOKUP(consultation[[#This Row],[ID_personnel]],personnel_1[],14,FALSE)</f>
        <v>83</v>
      </c>
    </row>
    <row r="68" spans="1:11" x14ac:dyDescent="0.3">
      <c r="A68" s="8">
        <v>70</v>
      </c>
      <c r="B68" s="9" t="s">
        <v>2721</v>
      </c>
      <c r="C68" s="10">
        <v>85</v>
      </c>
      <c r="D68" s="9" t="s">
        <v>2730</v>
      </c>
      <c r="E68" s="9"/>
      <c r="F68" s="8">
        <v>526</v>
      </c>
      <c r="G68" s="8">
        <v>960</v>
      </c>
      <c r="H68" s="8" t="str">
        <f>VLOOKUP(consultation[[#This Row],[ID_personnel]],personnel_1[],2,FALSE)&amp;" "&amp;VLOOKUP(consultation[[#This Row],[ID_personnel]],personnel_1[],3,FALSE)</f>
        <v>Gry Steenie</v>
      </c>
      <c r="I68" s="9" t="str">
        <f>VLOOKUP(consultation[[#This Row],[ID_patient]],patient[],2,FALSE)&amp;" "&amp;VLOOKUP(consultation[[#This Row],[ID_patient]],patient[],3,FALSE)</f>
        <v>Gaila Barbra</v>
      </c>
      <c r="J68" s="9">
        <f>VLOOKUP(consultation[[#This Row],[ID_patient]],patient[],16,FALSE)</f>
        <v>2</v>
      </c>
      <c r="K68" s="9" t="str">
        <f>VLOOKUP(consultation[[#This Row],[ID_personnel]],personnel_1[],14,FALSE)</f>
        <v>64</v>
      </c>
    </row>
    <row r="69" spans="1:11" x14ac:dyDescent="0.3">
      <c r="A69" s="8">
        <v>71</v>
      </c>
      <c r="B69" s="9" t="s">
        <v>2724</v>
      </c>
      <c r="C69" s="10">
        <v>191</v>
      </c>
      <c r="D69" s="9" t="s">
        <v>2726</v>
      </c>
      <c r="E69" s="9"/>
      <c r="F69" s="8">
        <v>443</v>
      </c>
      <c r="G69" s="8">
        <v>970</v>
      </c>
      <c r="H69" s="8" t="str">
        <f>VLOOKUP(consultation[[#This Row],[ID_personnel]],personnel_1[],2,FALSE)&amp;" "&amp;VLOOKUP(consultation[[#This Row],[ID_personnel]],personnel_1[],3,FALSE)</f>
        <v>Cheryl Damiano</v>
      </c>
      <c r="I69" s="9" t="str">
        <f>VLOOKUP(consultation[[#This Row],[ID_patient]],patient[],2,FALSE)&amp;" "&amp;VLOOKUP(consultation[[#This Row],[ID_patient]],patient[],3,FALSE)</f>
        <v>Kakalina Matty</v>
      </c>
      <c r="J69" s="9">
        <f>VLOOKUP(consultation[[#This Row],[ID_patient]],patient[],16,FALSE)</f>
        <v>2</v>
      </c>
      <c r="K69" s="9" t="str">
        <f>VLOOKUP(consultation[[#This Row],[ID_personnel]],personnel_1[],14,FALSE)</f>
        <v>67</v>
      </c>
    </row>
    <row r="70" spans="1:11" x14ac:dyDescent="0.3">
      <c r="A70" s="8">
        <v>72</v>
      </c>
      <c r="B70" s="9" t="s">
        <v>2733</v>
      </c>
      <c r="C70" s="10">
        <v>212</v>
      </c>
      <c r="D70" s="9" t="s">
        <v>2722</v>
      </c>
      <c r="E70" s="9"/>
      <c r="F70" s="8">
        <v>354</v>
      </c>
      <c r="G70" s="8">
        <v>952</v>
      </c>
      <c r="H70" s="8" t="str">
        <f>VLOOKUP(consultation[[#This Row],[ID_personnel]],personnel_1[],2,FALSE)&amp;" "&amp;VLOOKUP(consultation[[#This Row],[ID_personnel]],personnel_1[],3,FALSE)</f>
        <v>Tormod Joost</v>
      </c>
      <c r="I70" s="9" t="str">
        <f>VLOOKUP(consultation[[#This Row],[ID_patient]],patient[],2,FALSE)&amp;" "&amp;VLOOKUP(consultation[[#This Row],[ID_patient]],patient[],3,FALSE)</f>
        <v>Jeremiah Alesha</v>
      </c>
      <c r="J70" s="9">
        <f>VLOOKUP(consultation[[#This Row],[ID_patient]],patient[],16,FALSE)</f>
        <v>1</v>
      </c>
      <c r="K70" s="9" t="str">
        <f>VLOOKUP(consultation[[#This Row],[ID_personnel]],personnel_1[],14,FALSE)</f>
        <v>80</v>
      </c>
    </row>
    <row r="71" spans="1:11" x14ac:dyDescent="0.3">
      <c r="A71" s="8">
        <v>73</v>
      </c>
      <c r="B71" s="9" t="s">
        <v>2721</v>
      </c>
      <c r="C71" s="10">
        <v>41</v>
      </c>
      <c r="D71" s="9" t="s">
        <v>2727</v>
      </c>
      <c r="E71" s="9"/>
      <c r="F71" s="8">
        <v>619</v>
      </c>
      <c r="G71" s="8">
        <v>1001</v>
      </c>
      <c r="H71" s="8" t="str">
        <f>VLOOKUP(consultation[[#This Row],[ID_personnel]],personnel_1[],2,FALSE)&amp;" "&amp;VLOOKUP(consultation[[#This Row],[ID_personnel]],personnel_1[],3,FALSE)</f>
        <v>Delia Fritjof</v>
      </c>
      <c r="I71" s="9" t="str">
        <f>VLOOKUP(consultation[[#This Row],[ID_patient]],patient[],2,FALSE)&amp;" "&amp;VLOOKUP(consultation[[#This Row],[ID_patient]],patient[],3,FALSE)</f>
        <v>Ríona Miia</v>
      </c>
      <c r="J71" s="9">
        <f>VLOOKUP(consultation[[#This Row],[ID_patient]],patient[],16,FALSE)</f>
        <v>3</v>
      </c>
      <c r="K71" s="9" t="str">
        <f>VLOOKUP(consultation[[#This Row],[ID_personnel]],personnel_1[],14,FALSE)</f>
        <v>50</v>
      </c>
    </row>
    <row r="72" spans="1:11" x14ac:dyDescent="0.3">
      <c r="A72" s="8">
        <v>74</v>
      </c>
      <c r="B72" s="9" t="s">
        <v>2733</v>
      </c>
      <c r="C72" s="10">
        <v>189</v>
      </c>
      <c r="D72" s="9" t="s">
        <v>2725</v>
      </c>
      <c r="E72" s="9"/>
      <c r="F72" s="8">
        <v>537</v>
      </c>
      <c r="G72" s="8">
        <v>1023</v>
      </c>
      <c r="H72" s="8" t="str">
        <f>VLOOKUP(consultation[[#This Row],[ID_personnel]],personnel_1[],2,FALSE)&amp;" "&amp;VLOOKUP(consultation[[#This Row],[ID_personnel]],personnel_1[],3,FALSE)</f>
        <v>Tormod Joost</v>
      </c>
      <c r="I72" s="9" t="str">
        <f>VLOOKUP(consultation[[#This Row],[ID_patient]],patient[],2,FALSE)&amp;" "&amp;VLOOKUP(consultation[[#This Row],[ID_patient]],patient[],3,FALSE)</f>
        <v>Gruffud Chantel</v>
      </c>
      <c r="J72" s="9">
        <f>VLOOKUP(consultation[[#This Row],[ID_patient]],patient[],16,FALSE)</f>
        <v>1</v>
      </c>
      <c r="K72" s="9" t="str">
        <f>VLOOKUP(consultation[[#This Row],[ID_personnel]],personnel_1[],14,FALSE)</f>
        <v>80</v>
      </c>
    </row>
    <row r="73" spans="1:11" x14ac:dyDescent="0.3">
      <c r="A73" s="8">
        <v>75</v>
      </c>
      <c r="B73" s="9" t="s">
        <v>2724</v>
      </c>
      <c r="C73" s="10">
        <v>171</v>
      </c>
      <c r="D73" s="9" t="s">
        <v>2730</v>
      </c>
      <c r="E73" s="9"/>
      <c r="F73" s="8">
        <v>387</v>
      </c>
      <c r="G73" s="8">
        <v>988</v>
      </c>
      <c r="H73" s="8" t="str">
        <f>VLOOKUP(consultation[[#This Row],[ID_personnel]],personnel_1[],2,FALSE)&amp;" "&amp;VLOOKUP(consultation[[#This Row],[ID_personnel]],personnel_1[],3,FALSE)</f>
        <v>Fatima Kourtney</v>
      </c>
      <c r="I73" s="9" t="str">
        <f>VLOOKUP(consultation[[#This Row],[ID_patient]],patient[],2,FALSE)&amp;" "&amp;VLOOKUP(consultation[[#This Row],[ID_patient]],patient[],3,FALSE)</f>
        <v>Lachlan Gianpaolo</v>
      </c>
      <c r="J73" s="9">
        <f>VLOOKUP(consultation[[#This Row],[ID_patient]],patient[],16,FALSE)</f>
        <v>1</v>
      </c>
      <c r="K73" s="9" t="str">
        <f>VLOOKUP(consultation[[#This Row],[ID_personnel]],personnel_1[],14,FALSE)</f>
        <v>41</v>
      </c>
    </row>
    <row r="74" spans="1:11" x14ac:dyDescent="0.3">
      <c r="A74" s="8">
        <v>76</v>
      </c>
      <c r="B74" s="9" t="s">
        <v>2721</v>
      </c>
      <c r="C74" s="10">
        <v>155</v>
      </c>
      <c r="D74" s="9" t="s">
        <v>2727</v>
      </c>
      <c r="E74" s="9"/>
      <c r="F74" s="8">
        <v>396</v>
      </c>
      <c r="G74" s="8">
        <v>1001</v>
      </c>
      <c r="H74" s="8" t="str">
        <f>VLOOKUP(consultation[[#This Row],[ID_personnel]],personnel_1[],2,FALSE)&amp;" "&amp;VLOOKUP(consultation[[#This Row],[ID_personnel]],personnel_1[],3,FALSE)</f>
        <v>Delia Fritjof</v>
      </c>
      <c r="I74" s="9" t="str">
        <f>VLOOKUP(consultation[[#This Row],[ID_patient]],patient[],2,FALSE)&amp;" "&amp;VLOOKUP(consultation[[#This Row],[ID_patient]],patient[],3,FALSE)</f>
        <v>Qiu Abednego</v>
      </c>
      <c r="J74" s="9">
        <f>VLOOKUP(consultation[[#This Row],[ID_patient]],patient[],16,FALSE)</f>
        <v>1</v>
      </c>
      <c r="K74" s="9" t="str">
        <f>VLOOKUP(consultation[[#This Row],[ID_personnel]],personnel_1[],14,FALSE)</f>
        <v>50</v>
      </c>
    </row>
    <row r="75" spans="1:11" x14ac:dyDescent="0.3">
      <c r="A75" s="8">
        <v>77</v>
      </c>
      <c r="B75" s="9" t="s">
        <v>2733</v>
      </c>
      <c r="C75" s="10">
        <v>132</v>
      </c>
      <c r="D75" s="9" t="s">
        <v>2731</v>
      </c>
      <c r="E75" s="9"/>
      <c r="F75" s="8">
        <v>593</v>
      </c>
      <c r="G75" s="8">
        <v>940</v>
      </c>
      <c r="H75" s="8" t="str">
        <f>VLOOKUP(consultation[[#This Row],[ID_personnel]],personnel_1[],2,FALSE)&amp;" "&amp;VLOOKUP(consultation[[#This Row],[ID_personnel]],personnel_1[],3,FALSE)</f>
        <v>Laraine Mykhaylo</v>
      </c>
      <c r="I75" s="9" t="str">
        <f>VLOOKUP(consultation[[#This Row],[ID_patient]],patient[],2,FALSE)&amp;" "&amp;VLOOKUP(consultation[[#This Row],[ID_patient]],patient[],3,FALSE)</f>
        <v>Kiran Rica</v>
      </c>
      <c r="J75" s="9">
        <f>VLOOKUP(consultation[[#This Row],[ID_patient]],patient[],16,FALSE)</f>
        <v>2</v>
      </c>
      <c r="K75" s="9" t="str">
        <f>VLOOKUP(consultation[[#This Row],[ID_personnel]],personnel_1[],14,FALSE)</f>
        <v>60</v>
      </c>
    </row>
    <row r="76" spans="1:11" x14ac:dyDescent="0.3">
      <c r="A76" s="8">
        <v>78</v>
      </c>
      <c r="B76" s="9" t="s">
        <v>2721</v>
      </c>
      <c r="C76" s="10">
        <v>39</v>
      </c>
      <c r="D76" s="9" t="s">
        <v>2731</v>
      </c>
      <c r="E76" s="9"/>
      <c r="F76" s="8">
        <v>355</v>
      </c>
      <c r="G76" s="8">
        <v>1007</v>
      </c>
      <c r="H76" s="8" t="str">
        <f>VLOOKUP(consultation[[#This Row],[ID_personnel]],personnel_1[],2,FALSE)&amp;" "&amp;VLOOKUP(consultation[[#This Row],[ID_personnel]],personnel_1[],3,FALSE)</f>
        <v>Merlin Zak</v>
      </c>
      <c r="I76" s="9" t="str">
        <f>VLOOKUP(consultation[[#This Row],[ID_patient]],patient[],2,FALSE)&amp;" "&amp;VLOOKUP(consultation[[#This Row],[ID_patient]],patient[],3,FALSE)</f>
        <v>Bodil Elain</v>
      </c>
      <c r="J76" s="9">
        <f>VLOOKUP(consultation[[#This Row],[ID_patient]],patient[],16,FALSE)</f>
        <v>1</v>
      </c>
      <c r="K76" s="9" t="str">
        <f>VLOOKUP(consultation[[#This Row],[ID_personnel]],personnel_1[],14,FALSE)</f>
        <v>45</v>
      </c>
    </row>
    <row r="77" spans="1:11" x14ac:dyDescent="0.3">
      <c r="A77" s="8">
        <v>79</v>
      </c>
      <c r="B77" s="9" t="s">
        <v>2724</v>
      </c>
      <c r="C77" s="10">
        <v>52</v>
      </c>
      <c r="D77" s="9" t="s">
        <v>2722</v>
      </c>
      <c r="E77" s="9"/>
      <c r="F77" s="8">
        <v>612</v>
      </c>
      <c r="G77" s="8">
        <v>909</v>
      </c>
      <c r="H77" s="8" t="str">
        <f>VLOOKUP(consultation[[#This Row],[ID_personnel]],personnel_1[],2,FALSE)&amp;" "&amp;VLOOKUP(consultation[[#This Row],[ID_personnel]],personnel_1[],3,FALSE)</f>
        <v>Sophie Carlton</v>
      </c>
      <c r="I77" s="9" t="str">
        <f>VLOOKUP(consultation[[#This Row],[ID_patient]],patient[],2,FALSE)&amp;" "&amp;VLOOKUP(consultation[[#This Row],[ID_patient]],patient[],3,FALSE)</f>
        <v>Pollyanna Jarred</v>
      </c>
      <c r="J77" s="9">
        <f>VLOOKUP(consultation[[#This Row],[ID_patient]],patient[],16,FALSE)</f>
        <v>1</v>
      </c>
      <c r="K77" s="9" t="str">
        <f>VLOOKUP(consultation[[#This Row],[ID_personnel]],personnel_1[],14,FALSE)</f>
        <v>51</v>
      </c>
    </row>
    <row r="78" spans="1:11" x14ac:dyDescent="0.3">
      <c r="A78" s="8">
        <v>81</v>
      </c>
      <c r="B78" s="9" t="s">
        <v>2724</v>
      </c>
      <c r="C78" s="10">
        <v>186</v>
      </c>
      <c r="D78" s="9" t="s">
        <v>2730</v>
      </c>
      <c r="E78" s="9"/>
      <c r="F78" s="8">
        <v>553</v>
      </c>
      <c r="G78" s="8">
        <v>887</v>
      </c>
      <c r="H78" s="8" t="str">
        <f>VLOOKUP(consultation[[#This Row],[ID_personnel]],personnel_1[],2,FALSE)&amp;" "&amp;VLOOKUP(consultation[[#This Row],[ID_personnel]],personnel_1[],3,FALSE)</f>
        <v>Amadi Tuvya</v>
      </c>
      <c r="I78" s="9" t="str">
        <f>VLOOKUP(consultation[[#This Row],[ID_patient]],patient[],2,FALSE)&amp;" "&amp;VLOOKUP(consultation[[#This Row],[ID_patient]],patient[],3,FALSE)</f>
        <v>Hadewych Petros</v>
      </c>
      <c r="J78" s="9">
        <f>VLOOKUP(consultation[[#This Row],[ID_patient]],patient[],16,FALSE)</f>
        <v>1</v>
      </c>
      <c r="K78" s="9" t="str">
        <f>VLOOKUP(consultation[[#This Row],[ID_personnel]],personnel_1[],14,FALSE)</f>
        <v>50</v>
      </c>
    </row>
    <row r="79" spans="1:11" x14ac:dyDescent="0.3">
      <c r="A79" s="8">
        <v>82</v>
      </c>
      <c r="B79" s="9" t="s">
        <v>2721</v>
      </c>
      <c r="C79" s="10">
        <v>192</v>
      </c>
      <c r="D79" s="9" t="s">
        <v>2722</v>
      </c>
      <c r="E79" s="9"/>
      <c r="F79" s="8">
        <v>478</v>
      </c>
      <c r="G79" s="8">
        <v>946</v>
      </c>
      <c r="H79" s="8" t="str">
        <f>VLOOKUP(consultation[[#This Row],[ID_personnel]],personnel_1[],2,FALSE)&amp;" "&amp;VLOOKUP(consultation[[#This Row],[ID_personnel]],personnel_1[],3,FALSE)</f>
        <v>Benjamín Merry</v>
      </c>
      <c r="I79" s="9" t="str">
        <f>VLOOKUP(consultation[[#This Row],[ID_patient]],patient[],2,FALSE)&amp;" "&amp;VLOOKUP(consultation[[#This Row],[ID_patient]],patient[],3,FALSE)</f>
        <v>Dana (2) Orrell</v>
      </c>
      <c r="J79" s="9">
        <f>VLOOKUP(consultation[[#This Row],[ID_patient]],patient[],16,FALSE)</f>
        <v>1</v>
      </c>
      <c r="K79" s="9" t="str">
        <f>VLOOKUP(consultation[[#This Row],[ID_personnel]],personnel_1[],14,FALSE)</f>
        <v>46</v>
      </c>
    </row>
    <row r="80" spans="1:11" x14ac:dyDescent="0.3">
      <c r="A80" s="8">
        <v>83</v>
      </c>
      <c r="B80" s="9" t="s">
        <v>2721</v>
      </c>
      <c r="C80" s="10">
        <v>59</v>
      </c>
      <c r="D80" s="9" t="s">
        <v>2726</v>
      </c>
      <c r="E80" s="9"/>
      <c r="F80" s="8">
        <v>589</v>
      </c>
      <c r="G80" s="8">
        <v>941</v>
      </c>
      <c r="H80" s="8" t="str">
        <f>VLOOKUP(consultation[[#This Row],[ID_personnel]],personnel_1[],2,FALSE)&amp;" "&amp;VLOOKUP(consultation[[#This Row],[ID_personnel]],personnel_1[],3,FALSE)</f>
        <v>Glyn Ruaidrí</v>
      </c>
      <c r="I80" s="9" t="str">
        <f>VLOOKUP(consultation[[#This Row],[ID_patient]],patient[],2,FALSE)&amp;" "&amp;VLOOKUP(consultation[[#This Row],[ID_patient]],patient[],3,FALSE)</f>
        <v>Neifion Lexus</v>
      </c>
      <c r="J80" s="9">
        <f>VLOOKUP(consultation[[#This Row],[ID_patient]],patient[],16,FALSE)</f>
        <v>3</v>
      </c>
      <c r="K80" s="9" t="str">
        <f>VLOOKUP(consultation[[#This Row],[ID_personnel]],personnel_1[],14,FALSE)</f>
        <v>65</v>
      </c>
    </row>
    <row r="81" spans="1:11" x14ac:dyDescent="0.3">
      <c r="A81" s="8">
        <v>84</v>
      </c>
      <c r="B81" s="9" t="s">
        <v>2721</v>
      </c>
      <c r="C81" s="10">
        <v>44</v>
      </c>
      <c r="D81" s="9" t="s">
        <v>2725</v>
      </c>
      <c r="E81" s="9"/>
      <c r="F81" s="8">
        <v>609</v>
      </c>
      <c r="G81" s="8">
        <v>935</v>
      </c>
      <c r="H81" s="8" t="str">
        <f>VLOOKUP(consultation[[#This Row],[ID_personnel]],personnel_1[],2,FALSE)&amp;" "&amp;VLOOKUP(consultation[[#This Row],[ID_personnel]],personnel_1[],3,FALSE)</f>
        <v>Marla Ward</v>
      </c>
      <c r="I81" s="9" t="str">
        <f>VLOOKUP(consultation[[#This Row],[ID_patient]],patient[],2,FALSE)&amp;" "&amp;VLOOKUP(consultation[[#This Row],[ID_patient]],patient[],3,FALSE)</f>
        <v>Toribio Ayishah</v>
      </c>
      <c r="J81" s="9">
        <f>VLOOKUP(consultation[[#This Row],[ID_patient]],patient[],16,FALSE)</f>
        <v>2</v>
      </c>
      <c r="K81" s="9" t="str">
        <f>VLOOKUP(consultation[[#This Row],[ID_personnel]],personnel_1[],14,FALSE)</f>
        <v>42</v>
      </c>
    </row>
    <row r="82" spans="1:11" x14ac:dyDescent="0.3">
      <c r="A82" s="8">
        <v>85</v>
      </c>
      <c r="B82" s="9" t="s">
        <v>2733</v>
      </c>
      <c r="C82" s="10">
        <v>131</v>
      </c>
      <c r="D82" s="9" t="s">
        <v>2730</v>
      </c>
      <c r="E82" s="9"/>
      <c r="F82" s="8">
        <v>365</v>
      </c>
      <c r="G82" s="8">
        <v>939</v>
      </c>
      <c r="H82" s="8" t="str">
        <f>VLOOKUP(consultation[[#This Row],[ID_personnel]],personnel_1[],2,FALSE)&amp;" "&amp;VLOOKUP(consultation[[#This Row],[ID_personnel]],personnel_1[],3,FALSE)</f>
        <v>Cináed Rada</v>
      </c>
      <c r="I82" s="9" t="str">
        <f>VLOOKUP(consultation[[#This Row],[ID_patient]],patient[],2,FALSE)&amp;" "&amp;VLOOKUP(consultation[[#This Row],[ID_patient]],patient[],3,FALSE)</f>
        <v>Ofra Kaleb</v>
      </c>
      <c r="J82" s="9">
        <f>VLOOKUP(consultation[[#This Row],[ID_patient]],patient[],16,FALSE)</f>
        <v>3</v>
      </c>
      <c r="K82" s="9" t="str">
        <f>VLOOKUP(consultation[[#This Row],[ID_personnel]],personnel_1[],14,FALSE)</f>
        <v>51</v>
      </c>
    </row>
    <row r="83" spans="1:11" x14ac:dyDescent="0.3">
      <c r="A83" s="8">
        <v>86</v>
      </c>
      <c r="B83" s="9" t="s">
        <v>2733</v>
      </c>
      <c r="C83" s="10">
        <v>71</v>
      </c>
      <c r="D83" s="9" t="s">
        <v>2732</v>
      </c>
      <c r="E83" s="9"/>
      <c r="F83" s="8">
        <v>520</v>
      </c>
      <c r="G83" s="8">
        <v>991</v>
      </c>
      <c r="H83" s="8" t="str">
        <f>VLOOKUP(consultation[[#This Row],[ID_personnel]],personnel_1[],2,FALSE)&amp;" "&amp;VLOOKUP(consultation[[#This Row],[ID_personnel]],personnel_1[],3,FALSE)</f>
        <v>Oleksander Aatto</v>
      </c>
      <c r="I83" s="9" t="str">
        <f>VLOOKUP(consultation[[#This Row],[ID_patient]],patient[],2,FALSE)&amp;" "&amp;VLOOKUP(consultation[[#This Row],[ID_patient]],patient[],3,FALSE)</f>
        <v>Afanen Kezia</v>
      </c>
      <c r="J83" s="9">
        <f>VLOOKUP(consultation[[#This Row],[ID_patient]],patient[],16,FALSE)</f>
        <v>2</v>
      </c>
      <c r="K83" s="9" t="str">
        <f>VLOOKUP(consultation[[#This Row],[ID_personnel]],personnel_1[],14,FALSE)</f>
        <v>65</v>
      </c>
    </row>
    <row r="84" spans="1:11" x14ac:dyDescent="0.3">
      <c r="A84" s="8">
        <v>87</v>
      </c>
      <c r="B84" s="9" t="s">
        <v>2724</v>
      </c>
      <c r="C84" s="10">
        <v>69</v>
      </c>
      <c r="D84" s="9" t="s">
        <v>2730</v>
      </c>
      <c r="E84" s="9"/>
      <c r="F84" s="8">
        <v>586</v>
      </c>
      <c r="G84" s="8">
        <v>911</v>
      </c>
      <c r="H84" s="8" t="str">
        <f>VLOOKUP(consultation[[#This Row],[ID_personnel]],personnel_1[],2,FALSE)&amp;" "&amp;VLOOKUP(consultation[[#This Row],[ID_personnel]],personnel_1[],3,FALSE)</f>
        <v>Sancho Christophe</v>
      </c>
      <c r="I84" s="9" t="str">
        <f>VLOOKUP(consultation[[#This Row],[ID_patient]],patient[],2,FALSE)&amp;" "&amp;VLOOKUP(consultation[[#This Row],[ID_patient]],patient[],3,FALSE)</f>
        <v>Apikalia Walenty</v>
      </c>
      <c r="J84" s="9">
        <f>VLOOKUP(consultation[[#This Row],[ID_patient]],patient[],16,FALSE)</f>
        <v>3</v>
      </c>
      <c r="K84" s="9" t="str">
        <f>VLOOKUP(consultation[[#This Row],[ID_personnel]],personnel_1[],14,FALSE)</f>
        <v>68</v>
      </c>
    </row>
    <row r="85" spans="1:11" x14ac:dyDescent="0.3">
      <c r="A85" s="8">
        <v>88</v>
      </c>
      <c r="B85" s="9" t="s">
        <v>2733</v>
      </c>
      <c r="C85" s="10">
        <v>73</v>
      </c>
      <c r="D85" s="9" t="s">
        <v>2729</v>
      </c>
      <c r="E85" s="9"/>
      <c r="F85" s="8">
        <v>468</v>
      </c>
      <c r="G85" s="8">
        <v>930</v>
      </c>
      <c r="H85" s="8" t="str">
        <f>VLOOKUP(consultation[[#This Row],[ID_personnel]],personnel_1[],2,FALSE)&amp;" "&amp;VLOOKUP(consultation[[#This Row],[ID_personnel]],personnel_1[],3,FALSE)</f>
        <v>Delia Fritjof</v>
      </c>
      <c r="I85" s="9" t="str">
        <f>VLOOKUP(consultation[[#This Row],[ID_patient]],patient[],2,FALSE)&amp;" "&amp;VLOOKUP(consultation[[#This Row],[ID_patient]],patient[],3,FALSE)</f>
        <v>Philomena Philis</v>
      </c>
      <c r="J85" s="9">
        <f>VLOOKUP(consultation[[#This Row],[ID_patient]],patient[],16,FALSE)</f>
        <v>1</v>
      </c>
      <c r="K85" s="9" t="str">
        <f>VLOOKUP(consultation[[#This Row],[ID_personnel]],personnel_1[],14,FALSE)</f>
        <v>50</v>
      </c>
    </row>
    <row r="86" spans="1:11" x14ac:dyDescent="0.3">
      <c r="A86" s="8">
        <v>89</v>
      </c>
      <c r="B86" s="9" t="s">
        <v>2733</v>
      </c>
      <c r="C86" s="10">
        <v>176</v>
      </c>
      <c r="D86" s="9" t="s">
        <v>2726</v>
      </c>
      <c r="E86" s="9"/>
      <c r="F86" s="8">
        <v>600</v>
      </c>
      <c r="G86" s="8">
        <v>964</v>
      </c>
      <c r="H86" s="8" t="str">
        <f>VLOOKUP(consultation[[#This Row],[ID_personnel]],personnel_1[],2,FALSE)&amp;" "&amp;VLOOKUP(consultation[[#This Row],[ID_personnel]],personnel_1[],3,FALSE)</f>
        <v>Fikriyya Herbert</v>
      </c>
      <c r="I86" s="9" t="str">
        <f>VLOOKUP(consultation[[#This Row],[ID_patient]],patient[],2,FALSE)&amp;" "&amp;VLOOKUP(consultation[[#This Row],[ID_patient]],patient[],3,FALSE)</f>
        <v>Finola Dorothy</v>
      </c>
      <c r="J86" s="9">
        <f>VLOOKUP(consultation[[#This Row],[ID_patient]],patient[],16,FALSE)</f>
        <v>3</v>
      </c>
      <c r="K86" s="9" t="str">
        <f>VLOOKUP(consultation[[#This Row],[ID_personnel]],personnel_1[],14,FALSE)</f>
        <v>42</v>
      </c>
    </row>
    <row r="87" spans="1:11" x14ac:dyDescent="0.3">
      <c r="A87" s="8">
        <v>90</v>
      </c>
      <c r="B87" s="9" t="s">
        <v>2733</v>
      </c>
      <c r="C87" s="10">
        <v>45</v>
      </c>
      <c r="D87" s="9" t="s">
        <v>2728</v>
      </c>
      <c r="E87" s="9"/>
      <c r="F87" s="8">
        <v>498</v>
      </c>
      <c r="G87" s="8">
        <v>894</v>
      </c>
      <c r="H87" s="8" t="str">
        <f>VLOOKUP(consultation[[#This Row],[ID_personnel]],personnel_1[],2,FALSE)&amp;" "&amp;VLOOKUP(consultation[[#This Row],[ID_personnel]],personnel_1[],3,FALSE)</f>
        <v>Fryderyk Pascuala</v>
      </c>
      <c r="I87" s="9" t="str">
        <f>VLOOKUP(consultation[[#This Row],[ID_patient]],patient[],2,FALSE)&amp;" "&amp;VLOOKUP(consultation[[#This Row],[ID_patient]],patient[],3,FALSE)</f>
        <v>Arienne Tristão</v>
      </c>
      <c r="J87" s="9">
        <f>VLOOKUP(consultation[[#This Row],[ID_patient]],patient[],16,FALSE)</f>
        <v>3</v>
      </c>
      <c r="K87" s="9" t="str">
        <f>VLOOKUP(consultation[[#This Row],[ID_personnel]],personnel_1[],14,FALSE)</f>
        <v>76</v>
      </c>
    </row>
    <row r="88" spans="1:11" x14ac:dyDescent="0.3">
      <c r="A88" s="8">
        <v>91</v>
      </c>
      <c r="B88" s="9" t="s">
        <v>2724</v>
      </c>
      <c r="C88" s="10">
        <v>231</v>
      </c>
      <c r="D88" s="9" t="s">
        <v>2731</v>
      </c>
      <c r="E88" s="9"/>
      <c r="F88" s="8">
        <v>375</v>
      </c>
      <c r="G88" s="8">
        <v>889</v>
      </c>
      <c r="H88" s="8" t="str">
        <f>VLOOKUP(consultation[[#This Row],[ID_personnel]],personnel_1[],2,FALSE)&amp;" "&amp;VLOOKUP(consultation[[#This Row],[ID_personnel]],personnel_1[],3,FALSE)</f>
        <v>Gry Steenie</v>
      </c>
      <c r="I88" s="9" t="str">
        <f>VLOOKUP(consultation[[#This Row],[ID_patient]],patient[],2,FALSE)&amp;" "&amp;VLOOKUP(consultation[[#This Row],[ID_patient]],patient[],3,FALSE)</f>
        <v>Heida Joses</v>
      </c>
      <c r="J88" s="9">
        <f>VLOOKUP(consultation[[#This Row],[ID_patient]],patient[],16,FALSE)</f>
        <v>2</v>
      </c>
      <c r="K88" s="9" t="str">
        <f>VLOOKUP(consultation[[#This Row],[ID_personnel]],personnel_1[],14,FALSE)</f>
        <v>64</v>
      </c>
    </row>
    <row r="89" spans="1:11" x14ac:dyDescent="0.3">
      <c r="A89" s="8">
        <v>92</v>
      </c>
      <c r="B89" s="9" t="s">
        <v>2733</v>
      </c>
      <c r="C89" s="10">
        <v>55</v>
      </c>
      <c r="D89" s="9" t="s">
        <v>2730</v>
      </c>
      <c r="E89" s="9"/>
      <c r="F89" s="8">
        <v>584</v>
      </c>
      <c r="G89" s="8">
        <v>977</v>
      </c>
      <c r="H89" s="8" t="str">
        <f>VLOOKUP(consultation[[#This Row],[ID_personnel]],personnel_1[],2,FALSE)&amp;" "&amp;VLOOKUP(consultation[[#This Row],[ID_personnel]],personnel_1[],3,FALSE)</f>
        <v>Eoforhild Genoveffa</v>
      </c>
      <c r="I89" s="9" t="str">
        <f>VLOOKUP(consultation[[#This Row],[ID_patient]],patient[],2,FALSE)&amp;" "&amp;VLOOKUP(consultation[[#This Row],[ID_patient]],patient[],3,FALSE)</f>
        <v>Blanca Laverne</v>
      </c>
      <c r="J89" s="9">
        <f>VLOOKUP(consultation[[#This Row],[ID_patient]],patient[],16,FALSE)</f>
        <v>2</v>
      </c>
      <c r="K89" s="9" t="str">
        <f>VLOOKUP(consultation[[#This Row],[ID_personnel]],personnel_1[],14,FALSE)</f>
        <v>40</v>
      </c>
    </row>
    <row r="90" spans="1:11" x14ac:dyDescent="0.3">
      <c r="A90" s="8">
        <v>93</v>
      </c>
      <c r="B90" s="9" t="s">
        <v>2724</v>
      </c>
      <c r="C90" s="10">
        <v>15</v>
      </c>
      <c r="D90" s="9" t="s">
        <v>2728</v>
      </c>
      <c r="E90" s="9"/>
      <c r="F90" s="8">
        <v>516</v>
      </c>
      <c r="G90" s="8">
        <v>997</v>
      </c>
      <c r="H90" s="8" t="str">
        <f>VLOOKUP(consultation[[#This Row],[ID_personnel]],personnel_1[],2,FALSE)&amp;" "&amp;VLOOKUP(consultation[[#This Row],[ID_personnel]],personnel_1[],3,FALSE)</f>
        <v>Bailey Greet</v>
      </c>
      <c r="I90" s="9" t="str">
        <f>VLOOKUP(consultation[[#This Row],[ID_patient]],patient[],2,FALSE)&amp;" "&amp;VLOOKUP(consultation[[#This Row],[ID_patient]],patient[],3,FALSE)</f>
        <v>Nestor Dosia</v>
      </c>
      <c r="J90" s="9">
        <f>VLOOKUP(consultation[[#This Row],[ID_patient]],patient[],16,FALSE)</f>
        <v>3</v>
      </c>
      <c r="K90" s="9" t="str">
        <f>VLOOKUP(consultation[[#This Row],[ID_personnel]],personnel_1[],14,FALSE)</f>
        <v>72</v>
      </c>
    </row>
    <row r="91" spans="1:11" x14ac:dyDescent="0.3">
      <c r="A91" s="8">
        <v>94</v>
      </c>
      <c r="B91" s="9" t="s">
        <v>2721</v>
      </c>
      <c r="C91" s="10">
        <v>195</v>
      </c>
      <c r="D91" s="9" t="s">
        <v>2726</v>
      </c>
      <c r="E91" s="9"/>
      <c r="F91" s="8">
        <v>422</v>
      </c>
      <c r="G91" s="8">
        <v>949</v>
      </c>
      <c r="H91" s="8" t="str">
        <f>VLOOKUP(consultation[[#This Row],[ID_personnel]],personnel_1[],2,FALSE)&amp;" "&amp;VLOOKUP(consultation[[#This Row],[ID_personnel]],personnel_1[],3,FALSE)</f>
        <v>Paulene Alease</v>
      </c>
      <c r="I91" s="9" t="str">
        <f>VLOOKUP(consultation[[#This Row],[ID_patient]],patient[],2,FALSE)&amp;" "&amp;VLOOKUP(consultation[[#This Row],[ID_patient]],patient[],3,FALSE)</f>
        <v>Ran Larrie</v>
      </c>
      <c r="J91" s="9">
        <f>VLOOKUP(consultation[[#This Row],[ID_patient]],patient[],16,FALSE)</f>
        <v>1</v>
      </c>
      <c r="K91" s="9" t="str">
        <f>VLOOKUP(consultation[[#This Row],[ID_personnel]],personnel_1[],14,FALSE)</f>
        <v>68</v>
      </c>
    </row>
    <row r="92" spans="1:11" x14ac:dyDescent="0.3">
      <c r="A92" s="8">
        <v>95</v>
      </c>
      <c r="B92" s="9" t="s">
        <v>2733</v>
      </c>
      <c r="C92" s="10">
        <v>245</v>
      </c>
      <c r="D92" s="9" t="s">
        <v>2729</v>
      </c>
      <c r="E92" s="9"/>
      <c r="F92" s="8">
        <v>563</v>
      </c>
      <c r="G92" s="8">
        <v>1018</v>
      </c>
      <c r="H92" s="8" t="str">
        <f>VLOOKUP(consultation[[#This Row],[ID_personnel]],personnel_1[],2,FALSE)&amp;" "&amp;VLOOKUP(consultation[[#This Row],[ID_personnel]],personnel_1[],3,FALSE)</f>
        <v>Steen Mateo</v>
      </c>
      <c r="I92" s="9" t="str">
        <f>VLOOKUP(consultation[[#This Row],[ID_patient]],patient[],2,FALSE)&amp;" "&amp;VLOOKUP(consultation[[#This Row],[ID_patient]],patient[],3,FALSE)</f>
        <v>Gail Torin</v>
      </c>
      <c r="J92" s="9">
        <f>VLOOKUP(consultation[[#This Row],[ID_patient]],patient[],16,FALSE)</f>
        <v>3</v>
      </c>
      <c r="K92" s="9" t="str">
        <f>VLOOKUP(consultation[[#This Row],[ID_personnel]],personnel_1[],14,FALSE)</f>
        <v>69</v>
      </c>
    </row>
    <row r="93" spans="1:11" x14ac:dyDescent="0.3">
      <c r="A93" s="8">
        <v>97</v>
      </c>
      <c r="B93" s="9" t="s">
        <v>2724</v>
      </c>
      <c r="C93" s="10">
        <v>245</v>
      </c>
      <c r="D93" s="9" t="s">
        <v>2727</v>
      </c>
      <c r="E93" s="9"/>
      <c r="F93" s="8">
        <v>415</v>
      </c>
      <c r="G93" s="8">
        <v>1016</v>
      </c>
      <c r="H93" s="8" t="str">
        <f>VLOOKUP(consultation[[#This Row],[ID_personnel]],personnel_1[],2,FALSE)&amp;" "&amp;VLOOKUP(consultation[[#This Row],[ID_personnel]],personnel_1[],3,FALSE)</f>
        <v>Dido Ciaran</v>
      </c>
      <c r="I93" s="9" t="str">
        <f>VLOOKUP(consultation[[#This Row],[ID_patient]],patient[],2,FALSE)&amp;" "&amp;VLOOKUP(consultation[[#This Row],[ID_patient]],patient[],3,FALSE)</f>
        <v>Aghavni Azeneth</v>
      </c>
      <c r="J93" s="9">
        <f>VLOOKUP(consultation[[#This Row],[ID_patient]],patient[],16,FALSE)</f>
        <v>2</v>
      </c>
      <c r="K93" s="9" t="str">
        <f>VLOOKUP(consultation[[#This Row],[ID_personnel]],personnel_1[],14,FALSE)</f>
        <v>83</v>
      </c>
    </row>
    <row r="94" spans="1:11" x14ac:dyDescent="0.3">
      <c r="A94" s="8">
        <v>98</v>
      </c>
      <c r="B94" s="9" t="s">
        <v>2724</v>
      </c>
      <c r="C94" s="10">
        <v>225</v>
      </c>
      <c r="D94" s="9" t="s">
        <v>2731</v>
      </c>
      <c r="E94" s="9"/>
      <c r="F94" s="8">
        <v>447</v>
      </c>
      <c r="G94" s="8">
        <v>891</v>
      </c>
      <c r="H94" s="8" t="str">
        <f>VLOOKUP(consultation[[#This Row],[ID_personnel]],personnel_1[],2,FALSE)&amp;" "&amp;VLOOKUP(consultation[[#This Row],[ID_personnel]],personnel_1[],3,FALSE)</f>
        <v>Zusman Zosimos</v>
      </c>
      <c r="I94" s="9" t="str">
        <f>VLOOKUP(consultation[[#This Row],[ID_patient]],patient[],2,FALSE)&amp;" "&amp;VLOOKUP(consultation[[#This Row],[ID_patient]],patient[],3,FALSE)</f>
        <v>Midas Missie</v>
      </c>
      <c r="J94" s="9">
        <f>VLOOKUP(consultation[[#This Row],[ID_patient]],patient[],16,FALSE)</f>
        <v>3</v>
      </c>
      <c r="K94" s="9" t="str">
        <f>VLOOKUP(consultation[[#This Row],[ID_personnel]],personnel_1[],14,FALSE)</f>
        <v>43</v>
      </c>
    </row>
    <row r="95" spans="1:11" x14ac:dyDescent="0.3">
      <c r="A95" s="8">
        <v>99</v>
      </c>
      <c r="B95" s="9" t="s">
        <v>2721</v>
      </c>
      <c r="C95" s="10">
        <v>93</v>
      </c>
      <c r="D95" s="9" t="s">
        <v>2729</v>
      </c>
      <c r="E95" s="9"/>
      <c r="F95" s="8">
        <v>620</v>
      </c>
      <c r="G95" s="8">
        <v>1024</v>
      </c>
      <c r="H95" s="8" t="str">
        <f>VLOOKUP(consultation[[#This Row],[ID_personnel]],personnel_1[],2,FALSE)&amp;" "&amp;VLOOKUP(consultation[[#This Row],[ID_personnel]],personnel_1[],3,FALSE)</f>
        <v>Ivanna Gull</v>
      </c>
      <c r="I95" s="9" t="str">
        <f>VLOOKUP(consultation[[#This Row],[ID_patient]],patient[],2,FALSE)&amp;" "&amp;VLOOKUP(consultation[[#This Row],[ID_patient]],patient[],3,FALSE)</f>
        <v>Karina Wiremu</v>
      </c>
      <c r="J95" s="9">
        <f>VLOOKUP(consultation[[#This Row],[ID_patient]],patient[],16,FALSE)</f>
        <v>1</v>
      </c>
      <c r="K95" s="9" t="str">
        <f>VLOOKUP(consultation[[#This Row],[ID_personnel]],personnel_1[],14,FALSE)</f>
        <v>44</v>
      </c>
    </row>
    <row r="96" spans="1:11" x14ac:dyDescent="0.3">
      <c r="A96" s="8">
        <v>100</v>
      </c>
      <c r="B96" s="9" t="s">
        <v>2733</v>
      </c>
      <c r="C96" s="10">
        <v>212</v>
      </c>
      <c r="D96" s="9" t="s">
        <v>2722</v>
      </c>
      <c r="E96" s="9"/>
      <c r="F96" s="8">
        <v>484</v>
      </c>
      <c r="G96" s="8">
        <v>953</v>
      </c>
      <c r="H96" s="8" t="str">
        <f>VLOOKUP(consultation[[#This Row],[ID_personnel]],personnel_1[],2,FALSE)&amp;" "&amp;VLOOKUP(consultation[[#This Row],[ID_personnel]],personnel_1[],3,FALSE)</f>
        <v>Ivanna Gull</v>
      </c>
      <c r="I96" s="9" t="str">
        <f>VLOOKUP(consultation[[#This Row],[ID_patient]],patient[],2,FALSE)&amp;" "&amp;VLOOKUP(consultation[[#This Row],[ID_patient]],patient[],3,FALSE)</f>
        <v>Stavros Gopal</v>
      </c>
      <c r="J96" s="9">
        <f>VLOOKUP(consultation[[#This Row],[ID_patient]],patient[],16,FALSE)</f>
        <v>2</v>
      </c>
      <c r="K96" s="9" t="str">
        <f>VLOOKUP(consultation[[#This Row],[ID_personnel]],personnel_1[],14,FALSE)</f>
        <v>44</v>
      </c>
    </row>
    <row r="97" spans="1:11" x14ac:dyDescent="0.3">
      <c r="A97" s="8">
        <v>101</v>
      </c>
      <c r="B97" s="9" t="s">
        <v>2721</v>
      </c>
      <c r="C97" s="10">
        <v>94</v>
      </c>
      <c r="D97" s="9" t="s">
        <v>2730</v>
      </c>
      <c r="E97" s="9"/>
      <c r="F97" s="8">
        <v>425</v>
      </c>
      <c r="G97" s="8">
        <v>917</v>
      </c>
      <c r="H97" s="8" t="str">
        <f>VLOOKUP(consultation[[#This Row],[ID_personnel]],personnel_1[],2,FALSE)&amp;" "&amp;VLOOKUP(consultation[[#This Row],[ID_personnel]],personnel_1[],3,FALSE)</f>
        <v>Fatima Kourtney</v>
      </c>
      <c r="I97" s="9" t="str">
        <f>VLOOKUP(consultation[[#This Row],[ID_patient]],patient[],2,FALSE)&amp;" "&amp;VLOOKUP(consultation[[#This Row],[ID_patient]],patient[],3,FALSE)</f>
        <v>Dona Aloysius</v>
      </c>
      <c r="J97" s="9">
        <f>VLOOKUP(consultation[[#This Row],[ID_patient]],patient[],16,FALSE)</f>
        <v>3</v>
      </c>
      <c r="K97" s="9" t="str">
        <f>VLOOKUP(consultation[[#This Row],[ID_personnel]],personnel_1[],14,FALSE)</f>
        <v>41</v>
      </c>
    </row>
    <row r="98" spans="1:11" x14ac:dyDescent="0.3">
      <c r="A98" s="8">
        <v>102</v>
      </c>
      <c r="B98" s="9" t="s">
        <v>2721</v>
      </c>
      <c r="C98" s="10">
        <v>57</v>
      </c>
      <c r="D98" s="9" t="s">
        <v>2729</v>
      </c>
      <c r="E98" s="9"/>
      <c r="F98" s="8">
        <v>366</v>
      </c>
      <c r="G98" s="8">
        <v>909</v>
      </c>
      <c r="H98" s="8" t="str">
        <f>VLOOKUP(consultation[[#This Row],[ID_personnel]],personnel_1[],2,FALSE)&amp;" "&amp;VLOOKUP(consultation[[#This Row],[ID_personnel]],personnel_1[],3,FALSE)</f>
        <v>Sophie Carlton</v>
      </c>
      <c r="I98" s="9" t="str">
        <f>VLOOKUP(consultation[[#This Row],[ID_patient]],patient[],2,FALSE)&amp;" "&amp;VLOOKUP(consultation[[#This Row],[ID_patient]],patient[],3,FALSE)</f>
        <v>Beathan Sylvana</v>
      </c>
      <c r="J98" s="9">
        <f>VLOOKUP(consultation[[#This Row],[ID_patient]],patient[],16,FALSE)</f>
        <v>3</v>
      </c>
      <c r="K98" s="9" t="str">
        <f>VLOOKUP(consultation[[#This Row],[ID_personnel]],personnel_1[],14,FALSE)</f>
        <v>51</v>
      </c>
    </row>
    <row r="99" spans="1:11" x14ac:dyDescent="0.3">
      <c r="A99" s="8">
        <v>103</v>
      </c>
      <c r="B99" s="9" t="s">
        <v>2724</v>
      </c>
      <c r="C99" s="10">
        <v>198</v>
      </c>
      <c r="D99" s="9" t="s">
        <v>2731</v>
      </c>
      <c r="E99" s="9"/>
      <c r="F99" s="8">
        <v>405</v>
      </c>
      <c r="G99" s="8">
        <v>890</v>
      </c>
      <c r="H99" s="8" t="str">
        <f>VLOOKUP(consultation[[#This Row],[ID_personnel]],personnel_1[],2,FALSE)&amp;" "&amp;VLOOKUP(consultation[[#This Row],[ID_personnel]],personnel_1[],3,FALSE)</f>
        <v>Miranda Tina</v>
      </c>
      <c r="I99" s="9" t="str">
        <f>VLOOKUP(consultation[[#This Row],[ID_patient]],patient[],2,FALSE)&amp;" "&amp;VLOOKUP(consultation[[#This Row],[ID_patient]],patient[],3,FALSE)</f>
        <v>Mimi Elva</v>
      </c>
      <c r="J99" s="9">
        <f>VLOOKUP(consultation[[#This Row],[ID_patient]],patient[],16,FALSE)</f>
        <v>2</v>
      </c>
      <c r="K99" s="9" t="str">
        <f>VLOOKUP(consultation[[#This Row],[ID_personnel]],personnel_1[],14,FALSE)</f>
        <v>71</v>
      </c>
    </row>
    <row r="100" spans="1:11" x14ac:dyDescent="0.3">
      <c r="A100" s="8">
        <v>104</v>
      </c>
      <c r="B100" s="9" t="s">
        <v>2733</v>
      </c>
      <c r="C100" s="10">
        <v>20</v>
      </c>
      <c r="D100" s="9" t="s">
        <v>2723</v>
      </c>
      <c r="E100" s="9"/>
      <c r="F100" s="8">
        <v>503</v>
      </c>
      <c r="G100" s="8">
        <v>986</v>
      </c>
      <c r="H100" s="8" t="str">
        <f>VLOOKUP(consultation[[#This Row],[ID_personnel]],personnel_1[],2,FALSE)&amp;" "&amp;VLOOKUP(consultation[[#This Row],[ID_personnel]],personnel_1[],3,FALSE)</f>
        <v>Beatrice Ralf</v>
      </c>
      <c r="I100" s="9" t="str">
        <f>VLOOKUP(consultation[[#This Row],[ID_patient]],patient[],2,FALSE)&amp;" "&amp;VLOOKUP(consultation[[#This Row],[ID_patient]],patient[],3,FALSE)</f>
        <v>Tristán Laban</v>
      </c>
      <c r="J100" s="9">
        <f>VLOOKUP(consultation[[#This Row],[ID_patient]],patient[],16,FALSE)</f>
        <v>1</v>
      </c>
      <c r="K100" s="9" t="str">
        <f>VLOOKUP(consultation[[#This Row],[ID_personnel]],personnel_1[],14,FALSE)</f>
        <v>44</v>
      </c>
    </row>
    <row r="101" spans="1:11" x14ac:dyDescent="0.3">
      <c r="A101" s="8">
        <v>105</v>
      </c>
      <c r="B101" s="9" t="s">
        <v>2733</v>
      </c>
      <c r="C101" s="10">
        <v>23</v>
      </c>
      <c r="D101" s="9" t="s">
        <v>2722</v>
      </c>
      <c r="E101" s="9"/>
      <c r="F101" s="8">
        <v>474</v>
      </c>
      <c r="G101" s="8">
        <v>929</v>
      </c>
      <c r="H101" s="8" t="str">
        <f>VLOOKUP(consultation[[#This Row],[ID_personnel]],personnel_1[],2,FALSE)&amp;" "&amp;VLOOKUP(consultation[[#This Row],[ID_personnel]],personnel_1[],3,FALSE)</f>
        <v>Gorka Eideard</v>
      </c>
      <c r="I101" s="9" t="str">
        <f>VLOOKUP(consultation[[#This Row],[ID_patient]],patient[],2,FALSE)&amp;" "&amp;VLOOKUP(consultation[[#This Row],[ID_patient]],patient[],3,FALSE)</f>
        <v>Arienne Ixchel</v>
      </c>
      <c r="J101" s="9">
        <f>VLOOKUP(consultation[[#This Row],[ID_patient]],patient[],16,FALSE)</f>
        <v>1</v>
      </c>
      <c r="K101" s="9" t="str">
        <f>VLOOKUP(consultation[[#This Row],[ID_personnel]],personnel_1[],14,FALSE)</f>
        <v>43</v>
      </c>
    </row>
    <row r="102" spans="1:11" x14ac:dyDescent="0.3">
      <c r="A102" s="8">
        <v>106</v>
      </c>
      <c r="B102" s="9" t="s">
        <v>2724</v>
      </c>
      <c r="C102" s="10">
        <v>61</v>
      </c>
      <c r="D102" s="9" t="s">
        <v>2731</v>
      </c>
      <c r="E102" s="9"/>
      <c r="F102" s="8">
        <v>572</v>
      </c>
      <c r="G102" s="8">
        <v>907</v>
      </c>
      <c r="H102" s="8" t="str">
        <f>VLOOKUP(consultation[[#This Row],[ID_personnel]],personnel_1[],2,FALSE)&amp;" "&amp;VLOOKUP(consultation[[#This Row],[ID_personnel]],personnel_1[],3,FALSE)</f>
        <v>Sarai Reggie</v>
      </c>
      <c r="I102" s="9" t="str">
        <f>VLOOKUP(consultation[[#This Row],[ID_patient]],patient[],2,FALSE)&amp;" "&amp;VLOOKUP(consultation[[#This Row],[ID_patient]],patient[],3,FALSE)</f>
        <v>Tatienne Artemis</v>
      </c>
      <c r="J102" s="9">
        <f>VLOOKUP(consultation[[#This Row],[ID_patient]],patient[],16,FALSE)</f>
        <v>1</v>
      </c>
      <c r="K102" s="9" t="str">
        <f>VLOOKUP(consultation[[#This Row],[ID_personnel]],personnel_1[],14,FALSE)</f>
        <v>64</v>
      </c>
    </row>
    <row r="103" spans="1:11" x14ac:dyDescent="0.3">
      <c r="A103" s="8">
        <v>107</v>
      </c>
      <c r="B103" s="9" t="s">
        <v>2733</v>
      </c>
      <c r="C103" s="10">
        <v>8</v>
      </c>
      <c r="D103" s="9" t="s">
        <v>2732</v>
      </c>
      <c r="E103" s="9"/>
      <c r="F103" s="8">
        <v>498</v>
      </c>
      <c r="G103" s="8">
        <v>890</v>
      </c>
      <c r="H103" s="8" t="str">
        <f>VLOOKUP(consultation[[#This Row],[ID_personnel]],personnel_1[],2,FALSE)&amp;" "&amp;VLOOKUP(consultation[[#This Row],[ID_personnel]],personnel_1[],3,FALSE)</f>
        <v>Miranda Tina</v>
      </c>
      <c r="I103" s="9" t="str">
        <f>VLOOKUP(consultation[[#This Row],[ID_patient]],patient[],2,FALSE)&amp;" "&amp;VLOOKUP(consultation[[#This Row],[ID_patient]],patient[],3,FALSE)</f>
        <v>Arienne Tristão</v>
      </c>
      <c r="J103" s="9">
        <f>VLOOKUP(consultation[[#This Row],[ID_patient]],patient[],16,FALSE)</f>
        <v>3</v>
      </c>
      <c r="K103" s="9" t="str">
        <f>VLOOKUP(consultation[[#This Row],[ID_personnel]],personnel_1[],14,FALSE)</f>
        <v>71</v>
      </c>
    </row>
    <row r="104" spans="1:11" x14ac:dyDescent="0.3">
      <c r="A104" s="8">
        <v>108</v>
      </c>
      <c r="B104" s="9" t="s">
        <v>2733</v>
      </c>
      <c r="C104" s="10">
        <v>250</v>
      </c>
      <c r="D104" s="9" t="s">
        <v>2723</v>
      </c>
      <c r="E104" s="9"/>
      <c r="F104" s="8">
        <v>609</v>
      </c>
      <c r="G104" s="8">
        <v>919</v>
      </c>
      <c r="H104" s="8" t="str">
        <f>VLOOKUP(consultation[[#This Row],[ID_personnel]],personnel_1[],2,FALSE)&amp;" "&amp;VLOOKUP(consultation[[#This Row],[ID_personnel]],personnel_1[],3,FALSE)</f>
        <v>Caden Dominik</v>
      </c>
      <c r="I104" s="9" t="str">
        <f>VLOOKUP(consultation[[#This Row],[ID_patient]],patient[],2,FALSE)&amp;" "&amp;VLOOKUP(consultation[[#This Row],[ID_patient]],patient[],3,FALSE)</f>
        <v>Toribio Ayishah</v>
      </c>
      <c r="J104" s="9">
        <f>VLOOKUP(consultation[[#This Row],[ID_patient]],patient[],16,FALSE)</f>
        <v>2</v>
      </c>
      <c r="K104" s="9" t="str">
        <f>VLOOKUP(consultation[[#This Row],[ID_personnel]],personnel_1[],14,FALSE)</f>
        <v>50</v>
      </c>
    </row>
    <row r="105" spans="1:11" x14ac:dyDescent="0.3">
      <c r="A105" s="8">
        <v>109</v>
      </c>
      <c r="B105" s="9" t="s">
        <v>2721</v>
      </c>
      <c r="C105" s="10">
        <v>147</v>
      </c>
      <c r="D105" s="9" t="s">
        <v>2725</v>
      </c>
      <c r="E105" s="9"/>
      <c r="F105" s="8">
        <v>586</v>
      </c>
      <c r="G105" s="8">
        <v>958</v>
      </c>
      <c r="H105" s="8" t="str">
        <f>VLOOKUP(consultation[[#This Row],[ID_personnel]],personnel_1[],2,FALSE)&amp;" "&amp;VLOOKUP(consultation[[#This Row],[ID_personnel]],personnel_1[],3,FALSE)</f>
        <v>Amadi Tuvya</v>
      </c>
      <c r="I105" s="9" t="str">
        <f>VLOOKUP(consultation[[#This Row],[ID_patient]],patient[],2,FALSE)&amp;" "&amp;VLOOKUP(consultation[[#This Row],[ID_patient]],patient[],3,FALSE)</f>
        <v>Apikalia Walenty</v>
      </c>
      <c r="J105" s="9">
        <f>VLOOKUP(consultation[[#This Row],[ID_patient]],patient[],16,FALSE)</f>
        <v>3</v>
      </c>
      <c r="K105" s="9" t="str">
        <f>VLOOKUP(consultation[[#This Row],[ID_personnel]],personnel_1[],14,FALSE)</f>
        <v>50</v>
      </c>
    </row>
    <row r="106" spans="1:11" x14ac:dyDescent="0.3">
      <c r="A106" s="8">
        <v>110</v>
      </c>
      <c r="B106" s="9" t="s">
        <v>2721</v>
      </c>
      <c r="C106" s="10">
        <v>19</v>
      </c>
      <c r="D106" s="9" t="s">
        <v>2728</v>
      </c>
      <c r="E106" s="9"/>
      <c r="F106" s="8">
        <v>592</v>
      </c>
      <c r="G106" s="8">
        <v>904</v>
      </c>
      <c r="H106" s="8" t="str">
        <f>VLOOKUP(consultation[[#This Row],[ID_personnel]],personnel_1[],2,FALSE)&amp;" "&amp;VLOOKUP(consultation[[#This Row],[ID_personnel]],personnel_1[],3,FALSE)</f>
        <v>Sunshine Miksa</v>
      </c>
      <c r="I106" s="9" t="str">
        <f>VLOOKUP(consultation[[#This Row],[ID_patient]],patient[],2,FALSE)&amp;" "&amp;VLOOKUP(consultation[[#This Row],[ID_patient]],patient[],3,FALSE)</f>
        <v>Indra Ryo</v>
      </c>
      <c r="J106" s="9">
        <f>VLOOKUP(consultation[[#This Row],[ID_patient]],patient[],16,FALSE)</f>
        <v>1</v>
      </c>
      <c r="K106" s="9" t="str">
        <f>VLOOKUP(consultation[[#This Row],[ID_personnel]],personnel_1[],14,FALSE)</f>
        <v>67</v>
      </c>
    </row>
    <row r="107" spans="1:11" x14ac:dyDescent="0.3">
      <c r="A107" s="8">
        <v>112</v>
      </c>
      <c r="B107" s="9" t="s">
        <v>2733</v>
      </c>
      <c r="C107" s="10">
        <v>248</v>
      </c>
      <c r="D107" s="9" t="s">
        <v>2730</v>
      </c>
      <c r="E107" s="9"/>
      <c r="F107" s="8">
        <v>396</v>
      </c>
      <c r="G107" s="8">
        <v>983</v>
      </c>
      <c r="H107" s="8" t="str">
        <f>VLOOKUP(consultation[[#This Row],[ID_personnel]],personnel_1[],2,FALSE)&amp;" "&amp;VLOOKUP(consultation[[#This Row],[ID_personnel]],personnel_1[],3,FALSE)</f>
        <v>Joab Jaumet</v>
      </c>
      <c r="I107" s="9" t="str">
        <f>VLOOKUP(consultation[[#This Row],[ID_patient]],patient[],2,FALSE)&amp;" "&amp;VLOOKUP(consultation[[#This Row],[ID_patient]],patient[],3,FALSE)</f>
        <v>Qiu Abednego</v>
      </c>
      <c r="J107" s="9">
        <f>VLOOKUP(consultation[[#This Row],[ID_patient]],patient[],16,FALSE)</f>
        <v>1</v>
      </c>
      <c r="K107" s="9" t="str">
        <f>VLOOKUP(consultation[[#This Row],[ID_personnel]],personnel_1[],14,FALSE)</f>
        <v>64</v>
      </c>
    </row>
    <row r="108" spans="1:11" x14ac:dyDescent="0.3">
      <c r="A108" s="8">
        <v>113</v>
      </c>
      <c r="B108" s="9" t="s">
        <v>2724</v>
      </c>
      <c r="C108" s="10">
        <v>39</v>
      </c>
      <c r="D108" s="9" t="s">
        <v>2727</v>
      </c>
      <c r="E108" s="9"/>
      <c r="F108" s="8">
        <v>593</v>
      </c>
      <c r="G108" s="8">
        <v>982</v>
      </c>
      <c r="H108" s="8" t="str">
        <f>VLOOKUP(consultation[[#This Row],[ID_personnel]],personnel_1[],2,FALSE)&amp;" "&amp;VLOOKUP(consultation[[#This Row],[ID_personnel]],personnel_1[],3,FALSE)</f>
        <v>Sancho Christophe</v>
      </c>
      <c r="I108" s="9" t="str">
        <f>VLOOKUP(consultation[[#This Row],[ID_patient]],patient[],2,FALSE)&amp;" "&amp;VLOOKUP(consultation[[#This Row],[ID_patient]],patient[],3,FALSE)</f>
        <v>Kiran Rica</v>
      </c>
      <c r="J108" s="9">
        <f>VLOOKUP(consultation[[#This Row],[ID_patient]],patient[],16,FALSE)</f>
        <v>2</v>
      </c>
      <c r="K108" s="9" t="str">
        <f>VLOOKUP(consultation[[#This Row],[ID_personnel]],personnel_1[],14,FALSE)</f>
        <v>68</v>
      </c>
    </row>
    <row r="109" spans="1:11" x14ac:dyDescent="0.3">
      <c r="A109" s="8">
        <v>114</v>
      </c>
      <c r="B109" s="9" t="s">
        <v>2724</v>
      </c>
      <c r="C109" s="10">
        <v>130</v>
      </c>
      <c r="D109" s="9" t="s">
        <v>2723</v>
      </c>
      <c r="E109" s="9"/>
      <c r="F109" s="8">
        <v>357</v>
      </c>
      <c r="G109" s="8">
        <v>1024</v>
      </c>
      <c r="H109" s="8" t="str">
        <f>VLOOKUP(consultation[[#This Row],[ID_personnel]],personnel_1[],2,FALSE)&amp;" "&amp;VLOOKUP(consultation[[#This Row],[ID_personnel]],personnel_1[],3,FALSE)</f>
        <v>Ivanna Gull</v>
      </c>
      <c r="I109" s="9" t="str">
        <f>VLOOKUP(consultation[[#This Row],[ID_patient]],patient[],2,FALSE)&amp;" "&amp;VLOOKUP(consultation[[#This Row],[ID_patient]],patient[],3,FALSE)</f>
        <v>Slavomir Sarita</v>
      </c>
      <c r="J109" s="9">
        <f>VLOOKUP(consultation[[#This Row],[ID_patient]],patient[],16,FALSE)</f>
        <v>3</v>
      </c>
      <c r="K109" s="9" t="str">
        <f>VLOOKUP(consultation[[#This Row],[ID_personnel]],personnel_1[],14,FALSE)</f>
        <v>44</v>
      </c>
    </row>
    <row r="110" spans="1:11" x14ac:dyDescent="0.3">
      <c r="A110" s="8">
        <v>115</v>
      </c>
      <c r="B110" s="9" t="s">
        <v>2721</v>
      </c>
      <c r="C110" s="10">
        <v>56</v>
      </c>
      <c r="D110" s="9" t="s">
        <v>2731</v>
      </c>
      <c r="E110" s="9"/>
      <c r="F110" s="8">
        <v>594</v>
      </c>
      <c r="G110" s="8">
        <v>974</v>
      </c>
      <c r="H110" s="8" t="str">
        <f>VLOOKUP(consultation[[#This Row],[ID_personnel]],personnel_1[],2,FALSE)&amp;" "&amp;VLOOKUP(consultation[[#This Row],[ID_personnel]],personnel_1[],3,FALSE)</f>
        <v>Hammond Lan</v>
      </c>
      <c r="I110" s="9" t="str">
        <f>VLOOKUP(consultation[[#This Row],[ID_patient]],patient[],2,FALSE)&amp;" "&amp;VLOOKUP(consultation[[#This Row],[ID_patient]],patient[],3,FALSE)</f>
        <v>Tinek Habacuc</v>
      </c>
      <c r="J110" s="9">
        <f>VLOOKUP(consultation[[#This Row],[ID_patient]],patient[],16,FALSE)</f>
        <v>3</v>
      </c>
      <c r="K110" s="9" t="str">
        <f>VLOOKUP(consultation[[#This Row],[ID_personnel]],personnel_1[],14,FALSE)</f>
        <v>67</v>
      </c>
    </row>
    <row r="111" spans="1:11" x14ac:dyDescent="0.3">
      <c r="A111" s="8">
        <v>116</v>
      </c>
      <c r="B111" s="9" t="s">
        <v>2724</v>
      </c>
      <c r="C111" s="10">
        <v>94</v>
      </c>
      <c r="D111" s="9" t="s">
        <v>2732</v>
      </c>
      <c r="E111" s="9"/>
      <c r="F111" s="8">
        <v>444</v>
      </c>
      <c r="G111" s="8">
        <v>976</v>
      </c>
      <c r="H111" s="8" t="str">
        <f>VLOOKUP(consultation[[#This Row],[ID_personnel]],personnel_1[],2,FALSE)&amp;" "&amp;VLOOKUP(consultation[[#This Row],[ID_personnel]],personnel_1[],3,FALSE)</f>
        <v>Ömer Ronald</v>
      </c>
      <c r="I111" s="9" t="str">
        <f>VLOOKUP(consultation[[#This Row],[ID_patient]],patient[],2,FALSE)&amp;" "&amp;VLOOKUP(consultation[[#This Row],[ID_patient]],patient[],3,FALSE)</f>
        <v>Ramsay Zebadiah</v>
      </c>
      <c r="J111" s="9">
        <f>VLOOKUP(consultation[[#This Row],[ID_patient]],patient[],16,FALSE)</f>
        <v>2</v>
      </c>
      <c r="K111" s="9" t="str">
        <f>VLOOKUP(consultation[[#This Row],[ID_personnel]],personnel_1[],14,FALSE)</f>
        <v>65</v>
      </c>
    </row>
    <row r="112" spans="1:11" x14ac:dyDescent="0.3">
      <c r="A112" s="8">
        <v>117</v>
      </c>
      <c r="B112" s="9" t="s">
        <v>2721</v>
      </c>
      <c r="C112" s="10">
        <v>215</v>
      </c>
      <c r="D112" s="9" t="s">
        <v>2728</v>
      </c>
      <c r="E112" s="9"/>
      <c r="F112" s="8">
        <v>333</v>
      </c>
      <c r="G112" s="8">
        <v>1024</v>
      </c>
      <c r="H112" s="8" t="str">
        <f>VLOOKUP(consultation[[#This Row],[ID_personnel]],personnel_1[],2,FALSE)&amp;" "&amp;VLOOKUP(consultation[[#This Row],[ID_personnel]],personnel_1[],3,FALSE)</f>
        <v>Ivanna Gull</v>
      </c>
      <c r="I112" s="9" t="str">
        <f>VLOOKUP(consultation[[#This Row],[ID_patient]],patient[],2,FALSE)&amp;" "&amp;VLOOKUP(consultation[[#This Row],[ID_patient]],patient[],3,FALSE)</f>
        <v>Otis Mirjam</v>
      </c>
      <c r="J112" s="9">
        <f>VLOOKUP(consultation[[#This Row],[ID_patient]],patient[],16,FALSE)</f>
        <v>3</v>
      </c>
      <c r="K112" s="9" t="str">
        <f>VLOOKUP(consultation[[#This Row],[ID_personnel]],personnel_1[],14,FALSE)</f>
        <v>44</v>
      </c>
    </row>
    <row r="113" spans="1:11" x14ac:dyDescent="0.3">
      <c r="A113" s="8">
        <v>118</v>
      </c>
      <c r="B113" s="9" t="s">
        <v>2733</v>
      </c>
      <c r="C113" s="10">
        <v>222</v>
      </c>
      <c r="D113" s="9" t="s">
        <v>2725</v>
      </c>
      <c r="E113" s="9"/>
      <c r="F113" s="8">
        <v>460</v>
      </c>
      <c r="G113" s="8">
        <v>941</v>
      </c>
      <c r="H113" s="8" t="str">
        <f>VLOOKUP(consultation[[#This Row],[ID_personnel]],personnel_1[],2,FALSE)&amp;" "&amp;VLOOKUP(consultation[[#This Row],[ID_personnel]],personnel_1[],3,FALSE)</f>
        <v>Glyn Ruaidrí</v>
      </c>
      <c r="I113" s="9" t="str">
        <f>VLOOKUP(consultation[[#This Row],[ID_patient]],patient[],2,FALSE)&amp;" "&amp;VLOOKUP(consultation[[#This Row],[ID_patient]],patient[],3,FALSE)</f>
        <v>Barb Kunigunde</v>
      </c>
      <c r="J113" s="9">
        <f>VLOOKUP(consultation[[#This Row],[ID_patient]],patient[],16,FALSE)</f>
        <v>2</v>
      </c>
      <c r="K113" s="9" t="str">
        <f>VLOOKUP(consultation[[#This Row],[ID_personnel]],personnel_1[],14,FALSE)</f>
        <v>65</v>
      </c>
    </row>
    <row r="114" spans="1:11" x14ac:dyDescent="0.3">
      <c r="A114" s="8">
        <v>119</v>
      </c>
      <c r="B114" s="9" t="s">
        <v>2724</v>
      </c>
      <c r="C114" s="10">
        <v>229</v>
      </c>
      <c r="D114" s="9" t="s">
        <v>2731</v>
      </c>
      <c r="E114" s="9"/>
      <c r="F114" s="8">
        <v>454</v>
      </c>
      <c r="G114" s="8">
        <v>998</v>
      </c>
      <c r="H114" s="8" t="str">
        <f>VLOOKUP(consultation[[#This Row],[ID_personnel]],personnel_1[],2,FALSE)&amp;" "&amp;VLOOKUP(consultation[[#This Row],[ID_personnel]],personnel_1[],3,FALSE)</f>
        <v>Herk Bernadette</v>
      </c>
      <c r="I114" s="9" t="str">
        <f>VLOOKUP(consultation[[#This Row],[ID_patient]],patient[],2,FALSE)&amp;" "&amp;VLOOKUP(consultation[[#This Row],[ID_patient]],patient[],3,FALSE)</f>
        <v>Alexej Firmin</v>
      </c>
      <c r="J114" s="9">
        <f>VLOOKUP(consultation[[#This Row],[ID_patient]],patient[],16,FALSE)</f>
        <v>1</v>
      </c>
      <c r="K114" s="9" t="str">
        <f>VLOOKUP(consultation[[#This Row],[ID_personnel]],personnel_1[],14,FALSE)</f>
        <v>68</v>
      </c>
    </row>
    <row r="115" spans="1:11" x14ac:dyDescent="0.3">
      <c r="A115" s="8">
        <v>120</v>
      </c>
      <c r="B115" s="9" t="s">
        <v>2721</v>
      </c>
      <c r="C115" s="10">
        <v>63</v>
      </c>
      <c r="D115" s="9" t="s">
        <v>2731</v>
      </c>
      <c r="E115" s="9"/>
      <c r="F115" s="8">
        <v>529</v>
      </c>
      <c r="G115" s="8">
        <v>979</v>
      </c>
      <c r="H115" s="8" t="str">
        <f>VLOOKUP(consultation[[#This Row],[ID_personnel]],personnel_1[],2,FALSE)&amp;" "&amp;VLOOKUP(consultation[[#This Row],[ID_personnel]],personnel_1[],3,FALSE)</f>
        <v>Éadaoin Baal</v>
      </c>
      <c r="I115" s="9" t="str">
        <f>VLOOKUP(consultation[[#This Row],[ID_patient]],patient[],2,FALSE)&amp;" "&amp;VLOOKUP(consultation[[#This Row],[ID_patient]],patient[],3,FALSE)</f>
        <v>Totty Cynefrið</v>
      </c>
      <c r="J115" s="9">
        <f>VLOOKUP(consultation[[#This Row],[ID_patient]],patient[],16,FALSE)</f>
        <v>1</v>
      </c>
      <c r="K115" s="9" t="str">
        <f>VLOOKUP(consultation[[#This Row],[ID_personnel]],personnel_1[],14,FALSE)</f>
        <v>67</v>
      </c>
    </row>
    <row r="116" spans="1:11" x14ac:dyDescent="0.3">
      <c r="A116" s="8">
        <v>121</v>
      </c>
      <c r="B116" s="9" t="s">
        <v>2733</v>
      </c>
      <c r="C116" s="10">
        <v>92</v>
      </c>
      <c r="D116" s="9" t="s">
        <v>2730</v>
      </c>
      <c r="E116" s="9"/>
      <c r="F116" s="8">
        <v>454</v>
      </c>
      <c r="G116" s="8">
        <v>995</v>
      </c>
      <c r="H116" s="8" t="str">
        <f>VLOOKUP(consultation[[#This Row],[ID_personnel]],personnel_1[],2,FALSE)&amp;" "&amp;VLOOKUP(consultation[[#This Row],[ID_personnel]],personnel_1[],3,FALSE)</f>
        <v>Shiphrah Eluned</v>
      </c>
      <c r="I116" s="9" t="str">
        <f>VLOOKUP(consultation[[#This Row],[ID_patient]],patient[],2,FALSE)&amp;" "&amp;VLOOKUP(consultation[[#This Row],[ID_patient]],patient[],3,FALSE)</f>
        <v>Alexej Firmin</v>
      </c>
      <c r="J116" s="9">
        <f>VLOOKUP(consultation[[#This Row],[ID_patient]],patient[],16,FALSE)</f>
        <v>1</v>
      </c>
      <c r="K116" s="9" t="str">
        <f>VLOOKUP(consultation[[#This Row],[ID_personnel]],personnel_1[],14,FALSE)</f>
        <v>42</v>
      </c>
    </row>
    <row r="117" spans="1:11" x14ac:dyDescent="0.3">
      <c r="A117" s="8">
        <v>122</v>
      </c>
      <c r="B117" s="9" t="s">
        <v>2733</v>
      </c>
      <c r="C117" s="10">
        <v>61</v>
      </c>
      <c r="D117" s="9" t="s">
        <v>2723</v>
      </c>
      <c r="E117" s="9"/>
      <c r="F117" s="8">
        <v>501</v>
      </c>
      <c r="G117" s="8">
        <v>972</v>
      </c>
      <c r="H117" s="8" t="str">
        <f>VLOOKUP(consultation[[#This Row],[ID_personnel]],personnel_1[],2,FALSE)&amp;" "&amp;VLOOKUP(consultation[[#This Row],[ID_personnel]],personnel_1[],3,FALSE)</f>
        <v>Vilmar Eleanor</v>
      </c>
      <c r="I117" s="9" t="str">
        <f>VLOOKUP(consultation[[#This Row],[ID_patient]],patient[],2,FALSE)&amp;" "&amp;VLOOKUP(consultation[[#This Row],[ID_patient]],patient[],3,FALSE)</f>
        <v>Idowu Raschelle</v>
      </c>
      <c r="J117" s="9">
        <f>VLOOKUP(consultation[[#This Row],[ID_patient]],patient[],16,FALSE)</f>
        <v>3</v>
      </c>
      <c r="K117" s="9" t="str">
        <f>VLOOKUP(consultation[[#This Row],[ID_personnel]],personnel_1[],14,FALSE)</f>
        <v>66</v>
      </c>
    </row>
    <row r="118" spans="1:11" x14ac:dyDescent="0.3">
      <c r="A118" s="8">
        <v>123</v>
      </c>
      <c r="B118" s="9" t="s">
        <v>2721</v>
      </c>
      <c r="C118" s="10">
        <v>63</v>
      </c>
      <c r="D118" s="9" t="s">
        <v>2731</v>
      </c>
      <c r="E118" s="9"/>
      <c r="F118" s="8">
        <v>470</v>
      </c>
      <c r="G118" s="8">
        <v>918</v>
      </c>
      <c r="H118" s="8" t="str">
        <f>VLOOKUP(consultation[[#This Row],[ID_personnel]],personnel_1[],2,FALSE)&amp;" "&amp;VLOOKUP(consultation[[#This Row],[ID_personnel]],personnel_1[],3,FALSE)</f>
        <v>Chad Theodoric</v>
      </c>
      <c r="I118" s="9" t="str">
        <f>VLOOKUP(consultation[[#This Row],[ID_patient]],patient[],2,FALSE)&amp;" "&amp;VLOOKUP(consultation[[#This Row],[ID_patient]],patient[],3,FALSE)</f>
        <v>Jeetendra Elvin</v>
      </c>
      <c r="J118" s="9">
        <f>VLOOKUP(consultation[[#This Row],[ID_patient]],patient[],16,FALSE)</f>
        <v>1</v>
      </c>
      <c r="K118" s="9" t="str">
        <f>VLOOKUP(consultation[[#This Row],[ID_personnel]],personnel_1[],14,FALSE)</f>
        <v>69</v>
      </c>
    </row>
    <row r="119" spans="1:11" x14ac:dyDescent="0.3">
      <c r="A119" s="8">
        <v>124</v>
      </c>
      <c r="B119" s="9" t="s">
        <v>2721</v>
      </c>
      <c r="C119" s="10">
        <v>120</v>
      </c>
      <c r="D119" s="9" t="s">
        <v>2732</v>
      </c>
      <c r="E119" s="9"/>
      <c r="F119" s="8">
        <v>429</v>
      </c>
      <c r="G119" s="8">
        <v>910</v>
      </c>
      <c r="H119" s="8" t="str">
        <f>VLOOKUP(consultation[[#This Row],[ID_personnel]],personnel_1[],2,FALSE)&amp;" "&amp;VLOOKUP(consultation[[#This Row],[ID_personnel]],personnel_1[],3,FALSE)</f>
        <v>Spiros Sylvana</v>
      </c>
      <c r="I119" s="9" t="str">
        <f>VLOOKUP(consultation[[#This Row],[ID_patient]],patient[],2,FALSE)&amp;" "&amp;VLOOKUP(consultation[[#This Row],[ID_patient]],patient[],3,FALSE)</f>
        <v>Pancrazio Katey</v>
      </c>
      <c r="J119" s="9">
        <f>VLOOKUP(consultation[[#This Row],[ID_patient]],patient[],16,FALSE)</f>
        <v>3</v>
      </c>
      <c r="K119" s="9" t="str">
        <f>VLOOKUP(consultation[[#This Row],[ID_personnel]],personnel_1[],14,FALSE)</f>
        <v>51</v>
      </c>
    </row>
    <row r="120" spans="1:11" x14ac:dyDescent="0.3">
      <c r="A120" s="8">
        <v>125</v>
      </c>
      <c r="B120" s="9" t="s">
        <v>2733</v>
      </c>
      <c r="C120" s="10">
        <v>214</v>
      </c>
      <c r="D120" s="9" t="s">
        <v>2722</v>
      </c>
      <c r="E120" s="9"/>
      <c r="F120" s="8">
        <v>546</v>
      </c>
      <c r="G120" s="8">
        <v>1007</v>
      </c>
      <c r="H120" s="8" t="str">
        <f>VLOOKUP(consultation[[#This Row],[ID_personnel]],personnel_1[],2,FALSE)&amp;" "&amp;VLOOKUP(consultation[[#This Row],[ID_personnel]],personnel_1[],3,FALSE)</f>
        <v>Merlin Zak</v>
      </c>
      <c r="I120" s="9" t="str">
        <f>VLOOKUP(consultation[[#This Row],[ID_patient]],patient[],2,FALSE)&amp;" "&amp;VLOOKUP(consultation[[#This Row],[ID_patient]],patient[],3,FALSE)</f>
        <v>Mitxel Nomusa</v>
      </c>
      <c r="J120" s="9">
        <f>VLOOKUP(consultation[[#This Row],[ID_patient]],patient[],16,FALSE)</f>
        <v>1</v>
      </c>
      <c r="K120" s="9" t="str">
        <f>VLOOKUP(consultation[[#This Row],[ID_personnel]],personnel_1[],14,FALSE)</f>
        <v>45</v>
      </c>
    </row>
    <row r="121" spans="1:11" x14ac:dyDescent="0.3">
      <c r="A121" s="8">
        <v>126</v>
      </c>
      <c r="B121" s="9" t="s">
        <v>2733</v>
      </c>
      <c r="C121" s="10">
        <v>22</v>
      </c>
      <c r="D121" s="9" t="s">
        <v>2727</v>
      </c>
      <c r="E121" s="9"/>
      <c r="F121" s="8">
        <v>596</v>
      </c>
      <c r="G121" s="8">
        <v>907</v>
      </c>
      <c r="H121" s="8" t="str">
        <f>VLOOKUP(consultation[[#This Row],[ID_personnel]],personnel_1[],2,FALSE)&amp;" "&amp;VLOOKUP(consultation[[#This Row],[ID_personnel]],personnel_1[],3,FALSE)</f>
        <v>Sarai Reggie</v>
      </c>
      <c r="I121" s="9" t="str">
        <f>VLOOKUP(consultation[[#This Row],[ID_patient]],patient[],2,FALSE)&amp;" "&amp;VLOOKUP(consultation[[#This Row],[ID_patient]],patient[],3,FALSE)</f>
        <v>Ssanyu Eleutherius</v>
      </c>
      <c r="J121" s="9">
        <f>VLOOKUP(consultation[[#This Row],[ID_patient]],patient[],16,FALSE)</f>
        <v>3</v>
      </c>
      <c r="K121" s="9" t="str">
        <f>VLOOKUP(consultation[[#This Row],[ID_personnel]],personnel_1[],14,FALSE)</f>
        <v>64</v>
      </c>
    </row>
    <row r="122" spans="1:11" x14ac:dyDescent="0.3">
      <c r="A122" s="8">
        <v>127</v>
      </c>
      <c r="B122" s="9" t="s">
        <v>2733</v>
      </c>
      <c r="C122" s="10">
        <v>143</v>
      </c>
      <c r="D122" s="9" t="s">
        <v>2723</v>
      </c>
      <c r="E122" s="9"/>
      <c r="F122" s="8">
        <v>438</v>
      </c>
      <c r="G122" s="8">
        <v>893</v>
      </c>
      <c r="H122" s="8" t="str">
        <f>VLOOKUP(consultation[[#This Row],[ID_personnel]],personnel_1[],2,FALSE)&amp;" "&amp;VLOOKUP(consultation[[#This Row],[ID_personnel]],personnel_1[],3,FALSE)</f>
        <v>Fikriyya Herbert</v>
      </c>
      <c r="I122" s="9" t="str">
        <f>VLOOKUP(consultation[[#This Row],[ID_patient]],patient[],2,FALSE)&amp;" "&amp;VLOOKUP(consultation[[#This Row],[ID_patient]],patient[],3,FALSE)</f>
        <v>Özlem Fleuretta</v>
      </c>
      <c r="J122" s="9">
        <f>VLOOKUP(consultation[[#This Row],[ID_patient]],patient[],16,FALSE)</f>
        <v>3</v>
      </c>
      <c r="K122" s="9" t="str">
        <f>VLOOKUP(consultation[[#This Row],[ID_personnel]],personnel_1[],14,FALSE)</f>
        <v>42</v>
      </c>
    </row>
    <row r="123" spans="1:11" x14ac:dyDescent="0.3">
      <c r="A123" s="8">
        <v>128</v>
      </c>
      <c r="B123" s="9" t="s">
        <v>2733</v>
      </c>
      <c r="C123" s="10">
        <v>195</v>
      </c>
      <c r="D123" s="9" t="s">
        <v>2728</v>
      </c>
      <c r="E123" s="9"/>
      <c r="F123" s="8">
        <v>547</v>
      </c>
      <c r="G123" s="8">
        <v>1025</v>
      </c>
      <c r="H123" s="8" t="str">
        <f>VLOOKUP(consultation[[#This Row],[ID_personnel]],personnel_1[],2,FALSE)&amp;" "&amp;VLOOKUP(consultation[[#This Row],[ID_personnel]],personnel_1[],3,FALSE)</f>
        <v>Larisa Otis</v>
      </c>
      <c r="I123" s="9" t="str">
        <f>VLOOKUP(consultation[[#This Row],[ID_patient]],patient[],2,FALSE)&amp;" "&amp;VLOOKUP(consultation[[#This Row],[ID_patient]],patient[],3,FALSE)</f>
        <v>Ezar Kázmér</v>
      </c>
      <c r="J123" s="9">
        <f>VLOOKUP(consultation[[#This Row],[ID_patient]],patient[],16,FALSE)</f>
        <v>2</v>
      </c>
      <c r="K123" s="9" t="str">
        <f>VLOOKUP(consultation[[#This Row],[ID_personnel]],personnel_1[],14,FALSE)</f>
        <v>63</v>
      </c>
    </row>
    <row r="124" spans="1:11" x14ac:dyDescent="0.3">
      <c r="A124" s="8">
        <v>129</v>
      </c>
      <c r="B124" s="9" t="s">
        <v>2721</v>
      </c>
      <c r="C124" s="10">
        <v>49</v>
      </c>
      <c r="D124" s="9" t="s">
        <v>2723</v>
      </c>
      <c r="E124" s="9"/>
      <c r="F124" s="8">
        <v>618</v>
      </c>
      <c r="G124" s="8">
        <v>981</v>
      </c>
      <c r="H124" s="8" t="str">
        <f>VLOOKUP(consultation[[#This Row],[ID_personnel]],personnel_1[],2,FALSE)&amp;" "&amp;VLOOKUP(consultation[[#This Row],[ID_personnel]],personnel_1[],3,FALSE)</f>
        <v>Spiros Sylvana</v>
      </c>
      <c r="I124" s="9" t="str">
        <f>VLOOKUP(consultation[[#This Row],[ID_patient]],patient[],2,FALSE)&amp;" "&amp;VLOOKUP(consultation[[#This Row],[ID_patient]],patient[],3,FALSE)</f>
        <v>Jep Josef</v>
      </c>
      <c r="J124" s="9">
        <f>VLOOKUP(consultation[[#This Row],[ID_patient]],patient[],16,FALSE)</f>
        <v>2</v>
      </c>
      <c r="K124" s="9" t="str">
        <f>VLOOKUP(consultation[[#This Row],[ID_personnel]],personnel_1[],14,FALSE)</f>
        <v>51</v>
      </c>
    </row>
    <row r="125" spans="1:11" x14ac:dyDescent="0.3">
      <c r="A125" s="8">
        <v>130</v>
      </c>
      <c r="B125" s="9" t="s">
        <v>2721</v>
      </c>
      <c r="C125" s="10">
        <v>59</v>
      </c>
      <c r="D125" s="9" t="s">
        <v>2725</v>
      </c>
      <c r="E125" s="9"/>
      <c r="F125" s="8">
        <v>363</v>
      </c>
      <c r="G125" s="8">
        <v>989</v>
      </c>
      <c r="H125" s="8" t="str">
        <f>VLOOKUP(consultation[[#This Row],[ID_personnel]],personnel_1[],2,FALSE)&amp;" "&amp;VLOOKUP(consultation[[#This Row],[ID_personnel]],personnel_1[],3,FALSE)</f>
        <v>Chad Theodoric</v>
      </c>
      <c r="I125" s="9" t="str">
        <f>VLOOKUP(consultation[[#This Row],[ID_patient]],patient[],2,FALSE)&amp;" "&amp;VLOOKUP(consultation[[#This Row],[ID_patient]],patient[],3,FALSE)</f>
        <v>Britta Ju</v>
      </c>
      <c r="J125" s="9">
        <f>VLOOKUP(consultation[[#This Row],[ID_patient]],patient[],16,FALSE)</f>
        <v>1</v>
      </c>
      <c r="K125" s="9" t="str">
        <f>VLOOKUP(consultation[[#This Row],[ID_personnel]],personnel_1[],14,FALSE)</f>
        <v>69</v>
      </c>
    </row>
    <row r="126" spans="1:11" x14ac:dyDescent="0.3">
      <c r="A126" s="8">
        <v>131</v>
      </c>
      <c r="B126" s="9" t="s">
        <v>2724</v>
      </c>
      <c r="C126" s="10">
        <v>245</v>
      </c>
      <c r="D126" s="9" t="s">
        <v>2725</v>
      </c>
      <c r="E126" s="9"/>
      <c r="F126" s="8">
        <v>473</v>
      </c>
      <c r="G126" s="8">
        <v>960</v>
      </c>
      <c r="H126" s="8" t="str">
        <f>VLOOKUP(consultation[[#This Row],[ID_personnel]],personnel_1[],2,FALSE)&amp;" "&amp;VLOOKUP(consultation[[#This Row],[ID_personnel]],personnel_1[],3,FALSE)</f>
        <v>Gry Steenie</v>
      </c>
      <c r="I126" s="9" t="str">
        <f>VLOOKUP(consultation[[#This Row],[ID_patient]],patient[],2,FALSE)&amp;" "&amp;VLOOKUP(consultation[[#This Row],[ID_patient]],patient[],3,FALSE)</f>
        <v>Pipra Franciscus</v>
      </c>
      <c r="J126" s="9">
        <f>VLOOKUP(consultation[[#This Row],[ID_patient]],patient[],16,FALSE)</f>
        <v>3</v>
      </c>
      <c r="K126" s="9" t="str">
        <f>VLOOKUP(consultation[[#This Row],[ID_personnel]],personnel_1[],14,FALSE)</f>
        <v>64</v>
      </c>
    </row>
    <row r="127" spans="1:11" x14ac:dyDescent="0.3">
      <c r="A127" s="8">
        <v>132</v>
      </c>
      <c r="B127" s="9" t="s">
        <v>2721</v>
      </c>
      <c r="C127" s="10">
        <v>14</v>
      </c>
      <c r="D127" s="9" t="s">
        <v>2725</v>
      </c>
      <c r="E127" s="9"/>
      <c r="F127" s="8">
        <v>548</v>
      </c>
      <c r="G127" s="8">
        <v>1010</v>
      </c>
      <c r="H127" s="8" t="str">
        <f>VLOOKUP(consultation[[#This Row],[ID_personnel]],personnel_1[],2,FALSE)&amp;" "&amp;VLOOKUP(consultation[[#This Row],[ID_personnel]],personnel_1[],3,FALSE)</f>
        <v>Cináed Rada</v>
      </c>
      <c r="I127" s="9" t="str">
        <f>VLOOKUP(consultation[[#This Row],[ID_patient]],patient[],2,FALSE)&amp;" "&amp;VLOOKUP(consultation[[#This Row],[ID_patient]],patient[],3,FALSE)</f>
        <v>Edwena Trafford</v>
      </c>
      <c r="J127" s="9">
        <f>VLOOKUP(consultation[[#This Row],[ID_patient]],patient[],16,FALSE)</f>
        <v>3</v>
      </c>
      <c r="K127" s="9" t="str">
        <f>VLOOKUP(consultation[[#This Row],[ID_personnel]],personnel_1[],14,FALSE)</f>
        <v>51</v>
      </c>
    </row>
    <row r="128" spans="1:11" x14ac:dyDescent="0.3">
      <c r="A128" s="8">
        <v>133</v>
      </c>
      <c r="B128" s="9" t="s">
        <v>2733</v>
      </c>
      <c r="C128" s="10">
        <v>111</v>
      </c>
      <c r="D128" s="9" t="s">
        <v>2726</v>
      </c>
      <c r="E128" s="9"/>
      <c r="F128" s="8">
        <v>474</v>
      </c>
      <c r="G128" s="8">
        <v>927</v>
      </c>
      <c r="H128" s="8" t="str">
        <f>VLOOKUP(consultation[[#This Row],[ID_personnel]],personnel_1[],2,FALSE)&amp;" "&amp;VLOOKUP(consultation[[#This Row],[ID_personnel]],personnel_1[],3,FALSE)</f>
        <v>Herk Bernadette</v>
      </c>
      <c r="I128" s="9" t="str">
        <f>VLOOKUP(consultation[[#This Row],[ID_patient]],patient[],2,FALSE)&amp;" "&amp;VLOOKUP(consultation[[#This Row],[ID_patient]],patient[],3,FALSE)</f>
        <v>Arienne Ixchel</v>
      </c>
      <c r="J128" s="9">
        <f>VLOOKUP(consultation[[#This Row],[ID_patient]],patient[],16,FALSE)</f>
        <v>1</v>
      </c>
      <c r="K128" s="9" t="str">
        <f>VLOOKUP(consultation[[#This Row],[ID_personnel]],personnel_1[],14,FALSE)</f>
        <v>68</v>
      </c>
    </row>
    <row r="129" spans="1:11" x14ac:dyDescent="0.3">
      <c r="A129" s="8">
        <v>134</v>
      </c>
      <c r="B129" s="9" t="s">
        <v>2733</v>
      </c>
      <c r="C129" s="10">
        <v>131</v>
      </c>
      <c r="D129" s="9" t="s">
        <v>2728</v>
      </c>
      <c r="E129" s="9"/>
      <c r="F129" s="8">
        <v>513</v>
      </c>
      <c r="G129" s="8">
        <v>965</v>
      </c>
      <c r="H129" s="8" t="str">
        <f>VLOOKUP(consultation[[#This Row],[ID_personnel]],personnel_1[],2,FALSE)&amp;" "&amp;VLOOKUP(consultation[[#This Row],[ID_personnel]],personnel_1[],3,FALSE)</f>
        <v>Fryderyk Pascuala</v>
      </c>
      <c r="I129" s="9" t="str">
        <f>VLOOKUP(consultation[[#This Row],[ID_patient]],patient[],2,FALSE)&amp;" "&amp;VLOOKUP(consultation[[#This Row],[ID_patient]],patient[],3,FALSE)</f>
        <v>Chizoba Desislava</v>
      </c>
      <c r="J129" s="9">
        <f>VLOOKUP(consultation[[#This Row],[ID_patient]],patient[],16,FALSE)</f>
        <v>2</v>
      </c>
      <c r="K129" s="9" t="str">
        <f>VLOOKUP(consultation[[#This Row],[ID_personnel]],personnel_1[],14,FALSE)</f>
        <v>76</v>
      </c>
    </row>
    <row r="130" spans="1:11" x14ac:dyDescent="0.3">
      <c r="A130" s="8">
        <v>135</v>
      </c>
      <c r="B130" s="9" t="s">
        <v>2733</v>
      </c>
      <c r="C130" s="10">
        <v>155</v>
      </c>
      <c r="D130" s="9" t="s">
        <v>2732</v>
      </c>
      <c r="E130" s="9"/>
      <c r="F130" s="8">
        <v>659</v>
      </c>
      <c r="G130" s="8">
        <v>996</v>
      </c>
      <c r="H130" s="8" t="str">
        <f>VLOOKUP(consultation[[#This Row],[ID_personnel]],personnel_1[],2,FALSE)&amp;" "&amp;VLOOKUP(consultation[[#This Row],[ID_personnel]],personnel_1[],3,FALSE)</f>
        <v>Vince Tuija</v>
      </c>
      <c r="I130" s="9" t="str">
        <f>VLOOKUP(consultation[[#This Row],[ID_patient]],patient[],2,FALSE)&amp;" "&amp;VLOOKUP(consultation[[#This Row],[ID_patient]],patient[],3,FALSE)</f>
        <v>Jacenty Petera</v>
      </c>
      <c r="J130" s="9">
        <f>VLOOKUP(consultation[[#This Row],[ID_patient]],patient[],16,FALSE)</f>
        <v>3</v>
      </c>
      <c r="K130" s="9" t="str">
        <f>VLOOKUP(consultation[[#This Row],[ID_personnel]],personnel_1[],14,FALSE)</f>
        <v>77</v>
      </c>
    </row>
    <row r="131" spans="1:11" x14ac:dyDescent="0.3">
      <c r="A131" s="8">
        <v>136</v>
      </c>
      <c r="B131" s="9" t="s">
        <v>2733</v>
      </c>
      <c r="C131" s="10">
        <v>128</v>
      </c>
      <c r="D131" s="9" t="s">
        <v>2726</v>
      </c>
      <c r="E131" s="9"/>
      <c r="F131" s="8">
        <v>412</v>
      </c>
      <c r="G131" s="8">
        <v>917</v>
      </c>
      <c r="H131" s="8" t="str">
        <f>VLOOKUP(consultation[[#This Row],[ID_personnel]],personnel_1[],2,FALSE)&amp;" "&amp;VLOOKUP(consultation[[#This Row],[ID_personnel]],personnel_1[],3,FALSE)</f>
        <v>Fatima Kourtney</v>
      </c>
      <c r="I131" s="9" t="str">
        <f>VLOOKUP(consultation[[#This Row],[ID_patient]],patient[],2,FALSE)&amp;" "&amp;VLOOKUP(consultation[[#This Row],[ID_patient]],patient[],3,FALSE)</f>
        <v>Young Orval</v>
      </c>
      <c r="J131" s="9">
        <f>VLOOKUP(consultation[[#This Row],[ID_patient]],patient[],16,FALSE)</f>
        <v>2</v>
      </c>
      <c r="K131" s="9" t="str">
        <f>VLOOKUP(consultation[[#This Row],[ID_personnel]],personnel_1[],14,FALSE)</f>
        <v>41</v>
      </c>
    </row>
    <row r="132" spans="1:11" x14ac:dyDescent="0.3">
      <c r="A132" s="8">
        <v>137</v>
      </c>
      <c r="B132" s="9" t="s">
        <v>2724</v>
      </c>
      <c r="C132" s="10">
        <v>129</v>
      </c>
      <c r="D132" s="9" t="s">
        <v>2723</v>
      </c>
      <c r="E132" s="9"/>
      <c r="F132" s="8">
        <v>356</v>
      </c>
      <c r="G132" s="8">
        <v>914</v>
      </c>
      <c r="H132" s="8" t="str">
        <f>VLOOKUP(consultation[[#This Row],[ID_personnel]],personnel_1[],2,FALSE)&amp;" "&amp;VLOOKUP(consultation[[#This Row],[ID_personnel]],personnel_1[],3,FALSE)</f>
        <v>Kristine Ngai</v>
      </c>
      <c r="I132" s="9" t="str">
        <f>VLOOKUP(consultation[[#This Row],[ID_patient]],patient[],2,FALSE)&amp;" "&amp;VLOOKUP(consultation[[#This Row],[ID_patient]],patient[],3,FALSE)</f>
        <v>Andreja Witold</v>
      </c>
      <c r="J132" s="9">
        <f>VLOOKUP(consultation[[#This Row],[ID_patient]],patient[],16,FALSE)</f>
        <v>3</v>
      </c>
      <c r="K132" s="9" t="str">
        <f>VLOOKUP(consultation[[#This Row],[ID_personnel]],personnel_1[],14,FALSE)</f>
        <v>69</v>
      </c>
    </row>
    <row r="133" spans="1:11" x14ac:dyDescent="0.3">
      <c r="A133" s="8">
        <v>138</v>
      </c>
      <c r="B133" s="9" t="s">
        <v>2724</v>
      </c>
      <c r="C133" s="10">
        <v>213</v>
      </c>
      <c r="D133" s="9" t="s">
        <v>2723</v>
      </c>
      <c r="E133" s="9"/>
      <c r="F133" s="8">
        <v>535</v>
      </c>
      <c r="G133" s="8">
        <v>944</v>
      </c>
      <c r="H133" s="8" t="str">
        <f>VLOOKUP(consultation[[#This Row],[ID_personnel]],personnel_1[],2,FALSE)&amp;" "&amp;VLOOKUP(consultation[[#This Row],[ID_personnel]],personnel_1[],3,FALSE)</f>
        <v>Faunus Lindsey</v>
      </c>
      <c r="I133" s="9" t="str">
        <f>VLOOKUP(consultation[[#This Row],[ID_patient]],patient[],2,FALSE)&amp;" "&amp;VLOOKUP(consultation[[#This Row],[ID_patient]],patient[],3,FALSE)</f>
        <v>Jytte Stellan</v>
      </c>
      <c r="J133" s="9">
        <f>VLOOKUP(consultation[[#This Row],[ID_patient]],patient[],16,FALSE)</f>
        <v>2</v>
      </c>
      <c r="K133" s="9" t="str">
        <f>VLOOKUP(consultation[[#This Row],[ID_personnel]],personnel_1[],14,FALSE)</f>
        <v>65</v>
      </c>
    </row>
    <row r="134" spans="1:11" x14ac:dyDescent="0.3">
      <c r="A134" s="8">
        <v>139</v>
      </c>
      <c r="B134" s="9" t="s">
        <v>2733</v>
      </c>
      <c r="C134" s="10">
        <v>42</v>
      </c>
      <c r="D134" s="9" t="s">
        <v>2727</v>
      </c>
      <c r="E134" s="9"/>
      <c r="F134" s="8">
        <v>535</v>
      </c>
      <c r="G134" s="8">
        <v>978</v>
      </c>
      <c r="H134" s="8" t="str">
        <f>VLOOKUP(consultation[[#This Row],[ID_personnel]],personnel_1[],2,FALSE)&amp;" "&amp;VLOOKUP(consultation[[#This Row],[ID_personnel]],personnel_1[],3,FALSE)</f>
        <v>Sarai Reggie</v>
      </c>
      <c r="I134" s="9" t="str">
        <f>VLOOKUP(consultation[[#This Row],[ID_patient]],patient[],2,FALSE)&amp;" "&amp;VLOOKUP(consultation[[#This Row],[ID_patient]],patient[],3,FALSE)</f>
        <v>Jytte Stellan</v>
      </c>
      <c r="J134" s="9">
        <f>VLOOKUP(consultation[[#This Row],[ID_patient]],patient[],16,FALSE)</f>
        <v>2</v>
      </c>
      <c r="K134" s="9" t="str">
        <f>VLOOKUP(consultation[[#This Row],[ID_personnel]],personnel_1[],14,FALSE)</f>
        <v>64</v>
      </c>
    </row>
    <row r="135" spans="1:11" x14ac:dyDescent="0.3">
      <c r="A135" s="8">
        <v>140</v>
      </c>
      <c r="B135" s="9" t="s">
        <v>2733</v>
      </c>
      <c r="C135" s="10">
        <v>232</v>
      </c>
      <c r="D135" s="9" t="s">
        <v>2727</v>
      </c>
      <c r="E135" s="9"/>
      <c r="F135" s="8">
        <v>587</v>
      </c>
      <c r="G135" s="8">
        <v>1002</v>
      </c>
      <c r="H135" s="8" t="str">
        <f>VLOOKUP(consultation[[#This Row],[ID_personnel]],personnel_1[],2,FALSE)&amp;" "&amp;VLOOKUP(consultation[[#This Row],[ID_personnel]],personnel_1[],3,FALSE)</f>
        <v>Foka Akeem</v>
      </c>
      <c r="I135" s="9" t="str">
        <f>VLOOKUP(consultation[[#This Row],[ID_patient]],patient[],2,FALSE)&amp;" "&amp;VLOOKUP(consultation[[#This Row],[ID_patient]],patient[],3,FALSE)</f>
        <v>Epona Suraya</v>
      </c>
      <c r="J135" s="9">
        <f>VLOOKUP(consultation[[#This Row],[ID_patient]],patient[],16,FALSE)</f>
        <v>3</v>
      </c>
      <c r="K135" s="9" t="str">
        <f>VLOOKUP(consultation[[#This Row],[ID_personnel]],personnel_1[],14,FALSE)</f>
        <v>40</v>
      </c>
    </row>
    <row r="136" spans="1:11" x14ac:dyDescent="0.3">
      <c r="A136" s="8">
        <v>141</v>
      </c>
      <c r="B136" s="9" t="s">
        <v>2733</v>
      </c>
      <c r="C136" s="10">
        <v>30</v>
      </c>
      <c r="D136" s="9" t="s">
        <v>2727</v>
      </c>
      <c r="E136" s="9"/>
      <c r="F136" s="8">
        <v>572</v>
      </c>
      <c r="G136" s="8">
        <v>1013</v>
      </c>
      <c r="H136" s="8" t="str">
        <f>VLOOKUP(consultation[[#This Row],[ID_personnel]],personnel_1[],2,FALSE)&amp;" "&amp;VLOOKUP(consultation[[#This Row],[ID_personnel]],personnel_1[],3,FALSE)</f>
        <v>Confucius Ofydd</v>
      </c>
      <c r="I136" s="9" t="str">
        <f>VLOOKUP(consultation[[#This Row],[ID_patient]],patient[],2,FALSE)&amp;" "&amp;VLOOKUP(consultation[[#This Row],[ID_patient]],patient[],3,FALSE)</f>
        <v>Tatienne Artemis</v>
      </c>
      <c r="J136" s="9">
        <f>VLOOKUP(consultation[[#This Row],[ID_patient]],patient[],16,FALSE)</f>
        <v>1</v>
      </c>
      <c r="K136" s="9" t="str">
        <f>VLOOKUP(consultation[[#This Row],[ID_personnel]],personnel_1[],14,FALSE)</f>
        <v>50</v>
      </c>
    </row>
    <row r="137" spans="1:11" x14ac:dyDescent="0.3">
      <c r="A137" s="8">
        <v>142</v>
      </c>
      <c r="B137" s="9" t="s">
        <v>2721</v>
      </c>
      <c r="C137" s="10">
        <v>144</v>
      </c>
      <c r="D137" s="9" t="s">
        <v>2726</v>
      </c>
      <c r="E137" s="9"/>
      <c r="F137" s="8">
        <v>626</v>
      </c>
      <c r="G137" s="8">
        <v>913</v>
      </c>
      <c r="H137" s="8" t="str">
        <f>VLOOKUP(consultation[[#This Row],[ID_personnel]],personnel_1[],2,FALSE)&amp;" "&amp;VLOOKUP(consultation[[#This Row],[ID_personnel]],personnel_1[],3,FALSE)</f>
        <v>Narcisse Iqbal</v>
      </c>
      <c r="I137" s="9" t="str">
        <f>VLOOKUP(consultation[[#This Row],[ID_patient]],patient[],2,FALSE)&amp;" "&amp;VLOOKUP(consultation[[#This Row],[ID_patient]],patient[],3,FALSE)</f>
        <v>Curt Bláthnaid</v>
      </c>
      <c r="J137" s="9">
        <f>VLOOKUP(consultation[[#This Row],[ID_patient]],patient[],16,FALSE)</f>
        <v>2</v>
      </c>
      <c r="K137" s="9" t="str">
        <f>VLOOKUP(consultation[[#This Row],[ID_personnel]],personnel_1[],14,FALSE)</f>
        <v>76</v>
      </c>
    </row>
    <row r="138" spans="1:11" x14ac:dyDescent="0.3">
      <c r="A138" s="8">
        <v>143</v>
      </c>
      <c r="B138" s="9" t="s">
        <v>2733</v>
      </c>
      <c r="C138" s="10">
        <v>94</v>
      </c>
      <c r="D138" s="9" t="s">
        <v>2729</v>
      </c>
      <c r="E138" s="9"/>
      <c r="F138" s="8">
        <v>486</v>
      </c>
      <c r="G138" s="8">
        <v>992</v>
      </c>
      <c r="H138" s="8" t="str">
        <f>VLOOKUP(consultation[[#This Row],[ID_personnel]],personnel_1[],2,FALSE)&amp;" "&amp;VLOOKUP(consultation[[#This Row],[ID_personnel]],personnel_1[],3,FALSE)</f>
        <v>Thekla Maha</v>
      </c>
      <c r="I138" s="9" t="str">
        <f>VLOOKUP(consultation[[#This Row],[ID_patient]],patient[],2,FALSE)&amp;" "&amp;VLOOKUP(consultation[[#This Row],[ID_patient]],patient[],3,FALSE)</f>
        <v>Gershom Bernie</v>
      </c>
      <c r="J138" s="9">
        <f>VLOOKUP(consultation[[#This Row],[ID_patient]],patient[],16,FALSE)</f>
        <v>3</v>
      </c>
      <c r="K138" s="9" t="str">
        <f>VLOOKUP(consultation[[#This Row],[ID_personnel]],personnel_1[],14,FALSE)</f>
        <v>69</v>
      </c>
    </row>
    <row r="139" spans="1:11" x14ac:dyDescent="0.3">
      <c r="A139" s="8">
        <v>144</v>
      </c>
      <c r="B139" s="9" t="s">
        <v>2733</v>
      </c>
      <c r="C139" s="10">
        <v>127</v>
      </c>
      <c r="D139" s="9" t="s">
        <v>2732</v>
      </c>
      <c r="E139" s="9"/>
      <c r="F139" s="8">
        <v>537</v>
      </c>
      <c r="G139" s="8">
        <v>1016</v>
      </c>
      <c r="H139" s="8" t="str">
        <f>VLOOKUP(consultation[[#This Row],[ID_personnel]],personnel_1[],2,FALSE)&amp;" "&amp;VLOOKUP(consultation[[#This Row],[ID_personnel]],personnel_1[],3,FALSE)</f>
        <v>Dido Ciaran</v>
      </c>
      <c r="I139" s="9" t="str">
        <f>VLOOKUP(consultation[[#This Row],[ID_patient]],patient[],2,FALSE)&amp;" "&amp;VLOOKUP(consultation[[#This Row],[ID_patient]],patient[],3,FALSE)</f>
        <v>Gruffud Chantel</v>
      </c>
      <c r="J139" s="9">
        <f>VLOOKUP(consultation[[#This Row],[ID_patient]],patient[],16,FALSE)</f>
        <v>1</v>
      </c>
      <c r="K139" s="9" t="str">
        <f>VLOOKUP(consultation[[#This Row],[ID_personnel]],personnel_1[],14,FALSE)</f>
        <v>83</v>
      </c>
    </row>
    <row r="140" spans="1:11" x14ac:dyDescent="0.3">
      <c r="A140" s="8">
        <v>145</v>
      </c>
      <c r="B140" s="9" t="s">
        <v>2724</v>
      </c>
      <c r="C140" s="10">
        <v>144</v>
      </c>
      <c r="D140" s="9" t="s">
        <v>2728</v>
      </c>
      <c r="E140" s="9"/>
      <c r="F140" s="8">
        <v>371</v>
      </c>
      <c r="G140" s="8">
        <v>892</v>
      </c>
      <c r="H140" s="8" t="str">
        <f>VLOOKUP(consultation[[#This Row],[ID_personnel]],personnel_1[],2,FALSE)&amp;" "&amp;VLOOKUP(consultation[[#This Row],[ID_personnel]],personnel_1[],3,FALSE)</f>
        <v>Wojciech Fachtna</v>
      </c>
      <c r="I140" s="9" t="str">
        <f>VLOOKUP(consultation[[#This Row],[ID_patient]],patient[],2,FALSE)&amp;" "&amp;VLOOKUP(consultation[[#This Row],[ID_patient]],patient[],3,FALSE)</f>
        <v>Hanan Lane</v>
      </c>
      <c r="J140" s="9">
        <f>VLOOKUP(consultation[[#This Row],[ID_patient]],patient[],16,FALSE)</f>
        <v>2</v>
      </c>
      <c r="K140" s="9" t="str">
        <f>VLOOKUP(consultation[[#This Row],[ID_personnel]],personnel_1[],14,FALSE)</f>
        <v>66</v>
      </c>
    </row>
    <row r="141" spans="1:11" x14ac:dyDescent="0.3">
      <c r="A141" s="8">
        <v>146</v>
      </c>
      <c r="B141" s="9" t="s">
        <v>2733</v>
      </c>
      <c r="C141" s="10">
        <v>220</v>
      </c>
      <c r="D141" s="9" t="s">
        <v>2727</v>
      </c>
      <c r="E141" s="9"/>
      <c r="F141" s="8">
        <v>532</v>
      </c>
      <c r="G141" s="8">
        <v>1005</v>
      </c>
      <c r="H141" s="8" t="str">
        <f>VLOOKUP(consultation[[#This Row],[ID_personnel]],personnel_1[],2,FALSE)&amp;" "&amp;VLOOKUP(consultation[[#This Row],[ID_personnel]],personnel_1[],3,FALSE)</f>
        <v>Isabel Venceslao</v>
      </c>
      <c r="I141" s="9" t="str">
        <f>VLOOKUP(consultation[[#This Row],[ID_patient]],patient[],2,FALSE)&amp;" "&amp;VLOOKUP(consultation[[#This Row],[ID_patient]],patient[],3,FALSE)</f>
        <v>Piet Lydia</v>
      </c>
      <c r="J141" s="9">
        <f>VLOOKUP(consultation[[#This Row],[ID_patient]],patient[],16,FALSE)</f>
        <v>1</v>
      </c>
      <c r="K141" s="9" t="str">
        <f>VLOOKUP(consultation[[#This Row],[ID_personnel]],personnel_1[],14,FALSE)</f>
        <v>69</v>
      </c>
    </row>
    <row r="142" spans="1:11" x14ac:dyDescent="0.3">
      <c r="A142" s="8">
        <v>147</v>
      </c>
      <c r="B142" s="9" t="s">
        <v>2721</v>
      </c>
      <c r="C142" s="10">
        <v>145</v>
      </c>
      <c r="D142" s="9" t="s">
        <v>2722</v>
      </c>
      <c r="E142" s="9"/>
      <c r="F142" s="8">
        <v>554</v>
      </c>
      <c r="G142" s="8">
        <v>920</v>
      </c>
      <c r="H142" s="8" t="str">
        <f>VLOOKUP(consultation[[#This Row],[ID_personnel]],personnel_1[],2,FALSE)&amp;" "&amp;VLOOKUP(consultation[[#This Row],[ID_personnel]],personnel_1[],3,FALSE)</f>
        <v>Oleksander Aatto</v>
      </c>
      <c r="I142" s="9" t="str">
        <f>VLOOKUP(consultation[[#This Row],[ID_patient]],patient[],2,FALSE)&amp;" "&amp;VLOOKUP(consultation[[#This Row],[ID_patient]],patient[],3,FALSE)</f>
        <v>Davie Ianthe</v>
      </c>
      <c r="J142" s="9">
        <f>VLOOKUP(consultation[[#This Row],[ID_patient]],patient[],16,FALSE)</f>
        <v>2</v>
      </c>
      <c r="K142" s="9" t="str">
        <f>VLOOKUP(consultation[[#This Row],[ID_personnel]],personnel_1[],14,FALSE)</f>
        <v>65</v>
      </c>
    </row>
    <row r="143" spans="1:11" x14ac:dyDescent="0.3">
      <c r="A143" s="8">
        <v>148</v>
      </c>
      <c r="B143" s="9" t="s">
        <v>2721</v>
      </c>
      <c r="C143" s="10">
        <v>18</v>
      </c>
      <c r="D143" s="9" t="s">
        <v>2727</v>
      </c>
      <c r="E143" s="9"/>
      <c r="F143" s="8">
        <v>454</v>
      </c>
      <c r="G143" s="8">
        <v>1008</v>
      </c>
      <c r="H143" s="8" t="str">
        <f>VLOOKUP(consultation[[#This Row],[ID_personnel]],personnel_1[],2,FALSE)&amp;" "&amp;VLOOKUP(consultation[[#This Row],[ID_personnel]],personnel_1[],3,FALSE)</f>
        <v>Esteve Gerrard</v>
      </c>
      <c r="I143" s="9" t="str">
        <f>VLOOKUP(consultation[[#This Row],[ID_patient]],patient[],2,FALSE)&amp;" "&amp;VLOOKUP(consultation[[#This Row],[ID_patient]],patient[],3,FALSE)</f>
        <v>Alexej Firmin</v>
      </c>
      <c r="J143" s="9">
        <f>VLOOKUP(consultation[[#This Row],[ID_patient]],patient[],16,FALSE)</f>
        <v>1</v>
      </c>
      <c r="K143" s="9" t="str">
        <f>VLOOKUP(consultation[[#This Row],[ID_personnel]],personnel_1[],14,FALSE)</f>
        <v>65</v>
      </c>
    </row>
    <row r="144" spans="1:11" x14ac:dyDescent="0.3">
      <c r="A144" s="8">
        <v>149</v>
      </c>
      <c r="B144" s="9" t="s">
        <v>2724</v>
      </c>
      <c r="C144" s="10">
        <v>107</v>
      </c>
      <c r="D144" s="9" t="s">
        <v>2725</v>
      </c>
      <c r="E144" s="9"/>
      <c r="F144" s="8">
        <v>546</v>
      </c>
      <c r="G144" s="8">
        <v>925</v>
      </c>
      <c r="H144" s="8" t="str">
        <f>VLOOKUP(consultation[[#This Row],[ID_personnel]],personnel_1[],2,FALSE)&amp;" "&amp;VLOOKUP(consultation[[#This Row],[ID_personnel]],personnel_1[],3,FALSE)</f>
        <v>Vince Tuija</v>
      </c>
      <c r="I144" s="9" t="str">
        <f>VLOOKUP(consultation[[#This Row],[ID_patient]],patient[],2,FALSE)&amp;" "&amp;VLOOKUP(consultation[[#This Row],[ID_patient]],patient[],3,FALSE)</f>
        <v>Mitxel Nomusa</v>
      </c>
      <c r="J144" s="9">
        <f>VLOOKUP(consultation[[#This Row],[ID_patient]],patient[],16,FALSE)</f>
        <v>1</v>
      </c>
      <c r="K144" s="9" t="str">
        <f>VLOOKUP(consultation[[#This Row],[ID_personnel]],personnel_1[],14,FALSE)</f>
        <v>77</v>
      </c>
    </row>
    <row r="145" spans="1:11" x14ac:dyDescent="0.3">
      <c r="A145" s="8">
        <v>150</v>
      </c>
      <c r="B145" s="9" t="s">
        <v>2733</v>
      </c>
      <c r="C145" s="10">
        <v>231</v>
      </c>
      <c r="D145" s="9" t="s">
        <v>2723</v>
      </c>
      <c r="E145" s="9"/>
      <c r="F145" s="8">
        <v>496</v>
      </c>
      <c r="G145" s="8">
        <v>956</v>
      </c>
      <c r="H145" s="8" t="str">
        <f>VLOOKUP(consultation[[#This Row],[ID_personnel]],personnel_1[],2,FALSE)&amp;" "&amp;VLOOKUP(consultation[[#This Row],[ID_personnel]],personnel_1[],3,FALSE)</f>
        <v>Ffion Timoteus</v>
      </c>
      <c r="I145" s="9" t="str">
        <f>VLOOKUP(consultation[[#This Row],[ID_patient]],patient[],2,FALSE)&amp;" "&amp;VLOOKUP(consultation[[#This Row],[ID_patient]],patient[],3,FALSE)</f>
        <v>Jameel Miska</v>
      </c>
      <c r="J145" s="9">
        <f>VLOOKUP(consultation[[#This Row],[ID_patient]],patient[],16,FALSE)</f>
        <v>1</v>
      </c>
      <c r="K145" s="9" t="str">
        <f>VLOOKUP(consultation[[#This Row],[ID_personnel]],personnel_1[],14,FALSE)</f>
        <v>42</v>
      </c>
    </row>
    <row r="146" spans="1:11" x14ac:dyDescent="0.3">
      <c r="A146" s="8">
        <v>151</v>
      </c>
      <c r="B146" s="9" t="s">
        <v>2721</v>
      </c>
      <c r="C146" s="10">
        <v>196</v>
      </c>
      <c r="D146" s="9" t="s">
        <v>2723</v>
      </c>
      <c r="E146" s="9"/>
      <c r="F146" s="8">
        <v>610</v>
      </c>
      <c r="G146" s="8">
        <v>886</v>
      </c>
      <c r="H146" s="8" t="str">
        <f>VLOOKUP(consultation[[#This Row],[ID_personnel]],personnel_1[],2,FALSE)&amp;" "&amp;VLOOKUP(consultation[[#This Row],[ID_personnel]],personnel_1[],3,FALSE)</f>
        <v>Arcadia Veera</v>
      </c>
      <c r="I146" s="9" t="str">
        <f>VLOOKUP(consultation[[#This Row],[ID_patient]],patient[],2,FALSE)&amp;" "&amp;VLOOKUP(consultation[[#This Row],[ID_patient]],patient[],3,FALSE)</f>
        <v>Jóna Éloise</v>
      </c>
      <c r="J146" s="9">
        <f>VLOOKUP(consultation[[#This Row],[ID_patient]],patient[],16,FALSE)</f>
        <v>1</v>
      </c>
      <c r="K146" s="9" t="str">
        <f>VLOOKUP(consultation[[#This Row],[ID_personnel]],personnel_1[],14,FALSE)</f>
        <v>67</v>
      </c>
    </row>
    <row r="147" spans="1:11" x14ac:dyDescent="0.3">
      <c r="A147" s="8">
        <v>152</v>
      </c>
      <c r="B147" s="9" t="s">
        <v>2721</v>
      </c>
      <c r="C147" s="10">
        <v>146</v>
      </c>
      <c r="D147" s="9" t="s">
        <v>2729</v>
      </c>
      <c r="E147" s="9"/>
      <c r="F147" s="8">
        <v>509</v>
      </c>
      <c r="G147" s="8">
        <v>1020</v>
      </c>
      <c r="H147" s="8" t="str">
        <f>VLOOKUP(consultation[[#This Row],[ID_personnel]],personnel_1[],2,FALSE)&amp;" "&amp;VLOOKUP(consultation[[#This Row],[ID_personnel]],personnel_1[],3,FALSE)</f>
        <v>Paulene Alease</v>
      </c>
      <c r="I147" s="9" t="str">
        <f>VLOOKUP(consultation[[#This Row],[ID_patient]],patient[],2,FALSE)&amp;" "&amp;VLOOKUP(consultation[[#This Row],[ID_patient]],patient[],3,FALSE)</f>
        <v>Evpraksiya Jörgen</v>
      </c>
      <c r="J147" s="9">
        <f>VLOOKUP(consultation[[#This Row],[ID_patient]],patient[],16,FALSE)</f>
        <v>1</v>
      </c>
      <c r="K147" s="9" t="str">
        <f>VLOOKUP(consultation[[#This Row],[ID_personnel]],personnel_1[],14,FALSE)</f>
        <v>68</v>
      </c>
    </row>
    <row r="148" spans="1:11" x14ac:dyDescent="0.3">
      <c r="A148" s="8">
        <v>153</v>
      </c>
      <c r="B148" s="9" t="s">
        <v>2733</v>
      </c>
      <c r="C148" s="10">
        <v>184</v>
      </c>
      <c r="D148" s="9" t="s">
        <v>2732</v>
      </c>
      <c r="E148" s="9"/>
      <c r="F148" s="8">
        <v>641</v>
      </c>
      <c r="G148" s="8">
        <v>980</v>
      </c>
      <c r="H148" s="8" t="str">
        <f>VLOOKUP(consultation[[#This Row],[ID_personnel]],personnel_1[],2,FALSE)&amp;" "&amp;VLOOKUP(consultation[[#This Row],[ID_personnel]],personnel_1[],3,FALSE)</f>
        <v>Sophie Carlton</v>
      </c>
      <c r="I148" s="9" t="str">
        <f>VLOOKUP(consultation[[#This Row],[ID_patient]],patient[],2,FALSE)&amp;" "&amp;VLOOKUP(consultation[[#This Row],[ID_patient]],patient[],3,FALSE)</f>
        <v>Harun Blaine</v>
      </c>
      <c r="J148" s="9">
        <f>VLOOKUP(consultation[[#This Row],[ID_patient]],patient[],16,FALSE)</f>
        <v>3</v>
      </c>
      <c r="K148" s="9" t="str">
        <f>VLOOKUP(consultation[[#This Row],[ID_personnel]],personnel_1[],14,FALSE)</f>
        <v>51</v>
      </c>
    </row>
    <row r="149" spans="1:11" x14ac:dyDescent="0.3">
      <c r="A149" s="8">
        <v>154</v>
      </c>
      <c r="B149" s="9" t="s">
        <v>2721</v>
      </c>
      <c r="C149" s="10">
        <v>94</v>
      </c>
      <c r="D149" s="9" t="s">
        <v>2723</v>
      </c>
      <c r="E149" s="9"/>
      <c r="F149" s="8">
        <v>653</v>
      </c>
      <c r="G149" s="8">
        <v>958</v>
      </c>
      <c r="H149" s="8" t="str">
        <f>VLOOKUP(consultation[[#This Row],[ID_personnel]],personnel_1[],2,FALSE)&amp;" "&amp;VLOOKUP(consultation[[#This Row],[ID_personnel]],personnel_1[],3,FALSE)</f>
        <v>Amadi Tuvya</v>
      </c>
      <c r="I149" s="9" t="str">
        <f>VLOOKUP(consultation[[#This Row],[ID_patient]],patient[],2,FALSE)&amp;" "&amp;VLOOKUP(consultation[[#This Row],[ID_patient]],patient[],3,FALSE)</f>
        <v>Willis Leonzio</v>
      </c>
      <c r="J149" s="9">
        <f>VLOOKUP(consultation[[#This Row],[ID_patient]],patient[],16,FALSE)</f>
        <v>3</v>
      </c>
      <c r="K149" s="9" t="str">
        <f>VLOOKUP(consultation[[#This Row],[ID_personnel]],personnel_1[],14,FALSE)</f>
        <v>50</v>
      </c>
    </row>
    <row r="150" spans="1:11" x14ac:dyDescent="0.3">
      <c r="A150" s="8">
        <v>155</v>
      </c>
      <c r="B150" s="9" t="s">
        <v>2724</v>
      </c>
      <c r="C150" s="10">
        <v>152</v>
      </c>
      <c r="D150" s="9" t="s">
        <v>2722</v>
      </c>
      <c r="E150" s="9"/>
      <c r="F150" s="8">
        <v>559</v>
      </c>
      <c r="G150" s="8">
        <v>931</v>
      </c>
      <c r="H150" s="8" t="str">
        <f>VLOOKUP(consultation[[#This Row],[ID_personnel]],personnel_1[],2,FALSE)&amp;" "&amp;VLOOKUP(consultation[[#This Row],[ID_personnel]],personnel_1[],3,FALSE)</f>
        <v>Foka Akeem</v>
      </c>
      <c r="I150" s="9" t="str">
        <f>VLOOKUP(consultation[[#This Row],[ID_patient]],patient[],2,FALSE)&amp;" "&amp;VLOOKUP(consultation[[#This Row],[ID_patient]],patient[],3,FALSE)</f>
        <v>Cornélio Liesl</v>
      </c>
      <c r="J150" s="9">
        <f>VLOOKUP(consultation[[#This Row],[ID_patient]],patient[],16,FALSE)</f>
        <v>3</v>
      </c>
      <c r="K150" s="9" t="str">
        <f>VLOOKUP(consultation[[#This Row],[ID_personnel]],personnel_1[],14,FALSE)</f>
        <v>40</v>
      </c>
    </row>
    <row r="151" spans="1:11" x14ac:dyDescent="0.3">
      <c r="A151" s="8">
        <v>156</v>
      </c>
      <c r="B151" s="9" t="s">
        <v>2724</v>
      </c>
      <c r="C151" s="10">
        <v>100</v>
      </c>
      <c r="D151" s="9" t="s">
        <v>2722</v>
      </c>
      <c r="E151" s="9"/>
      <c r="F151" s="8">
        <v>570</v>
      </c>
      <c r="G151" s="8">
        <v>941</v>
      </c>
      <c r="H151" s="8" t="str">
        <f>VLOOKUP(consultation[[#This Row],[ID_personnel]],personnel_1[],2,FALSE)&amp;" "&amp;VLOOKUP(consultation[[#This Row],[ID_personnel]],personnel_1[],3,FALSE)</f>
        <v>Glyn Ruaidrí</v>
      </c>
      <c r="I151" s="9" t="str">
        <f>VLOOKUP(consultation[[#This Row],[ID_patient]],patient[],2,FALSE)&amp;" "&amp;VLOOKUP(consultation[[#This Row],[ID_patient]],patient[],3,FALSE)</f>
        <v>Dáire Dougal</v>
      </c>
      <c r="J151" s="9">
        <f>VLOOKUP(consultation[[#This Row],[ID_patient]],patient[],16,FALSE)</f>
        <v>2</v>
      </c>
      <c r="K151" s="9" t="str">
        <f>VLOOKUP(consultation[[#This Row],[ID_personnel]],personnel_1[],14,FALSE)</f>
        <v>65</v>
      </c>
    </row>
    <row r="152" spans="1:11" x14ac:dyDescent="0.3">
      <c r="A152" s="8">
        <v>157</v>
      </c>
      <c r="B152" s="9" t="s">
        <v>2724</v>
      </c>
      <c r="C152" s="10">
        <v>176</v>
      </c>
      <c r="D152" s="9" t="s">
        <v>2730</v>
      </c>
      <c r="E152" s="9"/>
      <c r="F152" s="8">
        <v>542</v>
      </c>
      <c r="G152" s="8">
        <v>947</v>
      </c>
      <c r="H152" s="8" t="str">
        <f>VLOOKUP(consultation[[#This Row],[ID_personnel]],personnel_1[],2,FALSE)&amp;" "&amp;VLOOKUP(consultation[[#This Row],[ID_personnel]],personnel_1[],3,FALSE)</f>
        <v>Steen Mateo</v>
      </c>
      <c r="I152" s="9" t="str">
        <f>VLOOKUP(consultation[[#This Row],[ID_patient]],patient[],2,FALSE)&amp;" "&amp;VLOOKUP(consultation[[#This Row],[ID_patient]],patient[],3,FALSE)</f>
        <v>Rina Heiner</v>
      </c>
      <c r="J152" s="9">
        <f>VLOOKUP(consultation[[#This Row],[ID_patient]],patient[],16,FALSE)</f>
        <v>2</v>
      </c>
      <c r="K152" s="9" t="str">
        <f>VLOOKUP(consultation[[#This Row],[ID_personnel]],personnel_1[],14,FALSE)</f>
        <v>69</v>
      </c>
    </row>
    <row r="153" spans="1:11" x14ac:dyDescent="0.3">
      <c r="A153" s="8">
        <v>158</v>
      </c>
      <c r="B153" s="9" t="s">
        <v>2724</v>
      </c>
      <c r="C153" s="10">
        <v>99</v>
      </c>
      <c r="D153" s="9" t="s">
        <v>2727</v>
      </c>
      <c r="E153" s="9"/>
      <c r="F153" s="8">
        <v>641</v>
      </c>
      <c r="G153" s="8">
        <v>1012</v>
      </c>
      <c r="H153" s="8" t="str">
        <f>VLOOKUP(consultation[[#This Row],[ID_personnel]],personnel_1[],2,FALSE)&amp;" "&amp;VLOOKUP(consultation[[#This Row],[ID_personnel]],personnel_1[],3,FALSE)</f>
        <v>Glyn Ruaidrí</v>
      </c>
      <c r="I153" s="9" t="str">
        <f>VLOOKUP(consultation[[#This Row],[ID_patient]],patient[],2,FALSE)&amp;" "&amp;VLOOKUP(consultation[[#This Row],[ID_patient]],patient[],3,FALSE)</f>
        <v>Harun Blaine</v>
      </c>
      <c r="J153" s="9">
        <f>VLOOKUP(consultation[[#This Row],[ID_patient]],patient[],16,FALSE)</f>
        <v>3</v>
      </c>
      <c r="K153" s="9" t="str">
        <f>VLOOKUP(consultation[[#This Row],[ID_personnel]],personnel_1[],14,FALSE)</f>
        <v>65</v>
      </c>
    </row>
    <row r="154" spans="1:11" x14ac:dyDescent="0.3">
      <c r="A154" s="8">
        <v>159</v>
      </c>
      <c r="B154" s="9" t="s">
        <v>2721</v>
      </c>
      <c r="C154" s="10">
        <v>234</v>
      </c>
      <c r="D154" s="9" t="s">
        <v>2722</v>
      </c>
      <c r="E154" s="9"/>
      <c r="F154" s="8">
        <v>437</v>
      </c>
      <c r="G154" s="8">
        <v>1004</v>
      </c>
      <c r="H154" s="8" t="str">
        <f>VLOOKUP(consultation[[#This Row],[ID_personnel]],personnel_1[],2,FALSE)&amp;" "&amp;VLOOKUP(consultation[[#This Row],[ID_personnel]],personnel_1[],3,FALSE)</f>
        <v>Antony Abegail</v>
      </c>
      <c r="I154" s="9" t="str">
        <f>VLOOKUP(consultation[[#This Row],[ID_patient]],patient[],2,FALSE)&amp;" "&amp;VLOOKUP(consultation[[#This Row],[ID_patient]],patient[],3,FALSE)</f>
        <v>Drake Donovan</v>
      </c>
      <c r="J154" s="9">
        <f>VLOOKUP(consultation[[#This Row],[ID_patient]],patient[],16,FALSE)</f>
        <v>2</v>
      </c>
      <c r="K154" s="9" t="str">
        <f>VLOOKUP(consultation[[#This Row],[ID_personnel]],personnel_1[],14,FALSE)</f>
        <v>69</v>
      </c>
    </row>
    <row r="155" spans="1:11" x14ac:dyDescent="0.3">
      <c r="A155" s="8">
        <v>160</v>
      </c>
      <c r="B155" s="9" t="s">
        <v>2721</v>
      </c>
      <c r="C155" s="10">
        <v>196</v>
      </c>
      <c r="D155" s="9" t="s">
        <v>2727</v>
      </c>
      <c r="E155" s="9"/>
      <c r="F155" s="8">
        <v>401</v>
      </c>
      <c r="G155" s="8">
        <v>929</v>
      </c>
      <c r="H155" s="8" t="str">
        <f>VLOOKUP(consultation[[#This Row],[ID_personnel]],personnel_1[],2,FALSE)&amp;" "&amp;VLOOKUP(consultation[[#This Row],[ID_personnel]],personnel_1[],3,FALSE)</f>
        <v>Gorka Eideard</v>
      </c>
      <c r="I155" s="9" t="str">
        <f>VLOOKUP(consultation[[#This Row],[ID_patient]],patient[],2,FALSE)&amp;" "&amp;VLOOKUP(consultation[[#This Row],[ID_patient]],patient[],3,FALSE)</f>
        <v>Jock Vasilica</v>
      </c>
      <c r="J155" s="9">
        <f>VLOOKUP(consultation[[#This Row],[ID_patient]],patient[],16,FALSE)</f>
        <v>3</v>
      </c>
      <c r="K155" s="9" t="str">
        <f>VLOOKUP(consultation[[#This Row],[ID_personnel]],personnel_1[],14,FALSE)</f>
        <v>43</v>
      </c>
    </row>
    <row r="156" spans="1:11" x14ac:dyDescent="0.3">
      <c r="A156" s="8">
        <v>161</v>
      </c>
      <c r="B156" s="9" t="s">
        <v>2721</v>
      </c>
      <c r="C156" s="10">
        <v>136</v>
      </c>
      <c r="D156" s="9" t="s">
        <v>2725</v>
      </c>
      <c r="E156" s="9"/>
      <c r="F156" s="8">
        <v>628</v>
      </c>
      <c r="G156" s="8">
        <v>899</v>
      </c>
      <c r="H156" s="8" t="str">
        <f>VLOOKUP(consultation[[#This Row],[ID_personnel]],personnel_1[],2,FALSE)&amp;" "&amp;VLOOKUP(consultation[[#This Row],[ID_personnel]],personnel_1[],3,FALSE)</f>
        <v>Cheryl Damiano</v>
      </c>
      <c r="I156" s="9" t="str">
        <f>VLOOKUP(consultation[[#This Row],[ID_patient]],patient[],2,FALSE)&amp;" "&amp;VLOOKUP(consultation[[#This Row],[ID_patient]],patient[],3,FALSE)</f>
        <v>Byrne Selena</v>
      </c>
      <c r="J156" s="9">
        <f>VLOOKUP(consultation[[#This Row],[ID_patient]],patient[],16,FALSE)</f>
        <v>3</v>
      </c>
      <c r="K156" s="9" t="str">
        <f>VLOOKUP(consultation[[#This Row],[ID_personnel]],personnel_1[],14,FALSE)</f>
        <v>67</v>
      </c>
    </row>
    <row r="157" spans="1:11" x14ac:dyDescent="0.3">
      <c r="A157" s="8">
        <v>162</v>
      </c>
      <c r="B157" s="9" t="s">
        <v>2724</v>
      </c>
      <c r="C157" s="10">
        <v>210</v>
      </c>
      <c r="D157" s="9" t="s">
        <v>2722</v>
      </c>
      <c r="E157" s="9"/>
      <c r="F157" s="8">
        <v>344</v>
      </c>
      <c r="G157" s="8">
        <v>949</v>
      </c>
      <c r="H157" s="8" t="str">
        <f>VLOOKUP(consultation[[#This Row],[ID_personnel]],personnel_1[],2,FALSE)&amp;" "&amp;VLOOKUP(consultation[[#This Row],[ID_personnel]],personnel_1[],3,FALSE)</f>
        <v>Paulene Alease</v>
      </c>
      <c r="I157" s="9" t="str">
        <f>VLOOKUP(consultation[[#This Row],[ID_patient]],patient[],2,FALSE)&amp;" "&amp;VLOOKUP(consultation[[#This Row],[ID_patient]],patient[],3,FALSE)</f>
        <v>Seraphine Muirgheal</v>
      </c>
      <c r="J157" s="9">
        <f>VLOOKUP(consultation[[#This Row],[ID_patient]],patient[],16,FALSE)</f>
        <v>3</v>
      </c>
      <c r="K157" s="9" t="str">
        <f>VLOOKUP(consultation[[#This Row],[ID_personnel]],personnel_1[],14,FALSE)</f>
        <v>68</v>
      </c>
    </row>
    <row r="158" spans="1:11" x14ac:dyDescent="0.3">
      <c r="A158" s="8">
        <v>163</v>
      </c>
      <c r="B158" s="9" t="s">
        <v>2733</v>
      </c>
      <c r="C158" s="10">
        <v>112</v>
      </c>
      <c r="D158" s="9" t="s">
        <v>2730</v>
      </c>
      <c r="E158" s="9"/>
      <c r="F158" s="8">
        <v>469</v>
      </c>
      <c r="G158" s="8">
        <v>947</v>
      </c>
      <c r="H158" s="8" t="str">
        <f>VLOOKUP(consultation[[#This Row],[ID_personnel]],personnel_1[],2,FALSE)&amp;" "&amp;VLOOKUP(consultation[[#This Row],[ID_personnel]],personnel_1[],3,FALSE)</f>
        <v>Steen Mateo</v>
      </c>
      <c r="I158" s="9" t="str">
        <f>VLOOKUP(consultation[[#This Row],[ID_patient]],patient[],2,FALSE)&amp;" "&amp;VLOOKUP(consultation[[#This Row],[ID_patient]],patient[],3,FALSE)</f>
        <v>Shprintzel Tadeu</v>
      </c>
      <c r="J158" s="9">
        <f>VLOOKUP(consultation[[#This Row],[ID_patient]],patient[],16,FALSE)</f>
        <v>1</v>
      </c>
      <c r="K158" s="9" t="str">
        <f>VLOOKUP(consultation[[#This Row],[ID_personnel]],personnel_1[],14,FALSE)</f>
        <v>69</v>
      </c>
    </row>
    <row r="159" spans="1:11" x14ac:dyDescent="0.3">
      <c r="A159" s="8">
        <v>164</v>
      </c>
      <c r="B159" s="9" t="s">
        <v>2721</v>
      </c>
      <c r="C159" s="10">
        <v>197</v>
      </c>
      <c r="D159" s="9" t="s">
        <v>2726</v>
      </c>
      <c r="E159" s="9"/>
      <c r="F159" s="8">
        <v>608</v>
      </c>
      <c r="G159" s="8">
        <v>909</v>
      </c>
      <c r="H159" s="8" t="str">
        <f>VLOOKUP(consultation[[#This Row],[ID_personnel]],personnel_1[],2,FALSE)&amp;" "&amp;VLOOKUP(consultation[[#This Row],[ID_personnel]],personnel_1[],3,FALSE)</f>
        <v>Sophie Carlton</v>
      </c>
      <c r="I159" s="9" t="str">
        <f>VLOOKUP(consultation[[#This Row],[ID_patient]],patient[],2,FALSE)&amp;" "&amp;VLOOKUP(consultation[[#This Row],[ID_patient]],patient[],3,FALSE)</f>
        <v>Salvatore Zelpah</v>
      </c>
      <c r="J159" s="9">
        <f>VLOOKUP(consultation[[#This Row],[ID_patient]],patient[],16,FALSE)</f>
        <v>3</v>
      </c>
      <c r="K159" s="9" t="str">
        <f>VLOOKUP(consultation[[#This Row],[ID_personnel]],personnel_1[],14,FALSE)</f>
        <v>51</v>
      </c>
    </row>
    <row r="160" spans="1:11" x14ac:dyDescent="0.3">
      <c r="A160" s="8">
        <v>165</v>
      </c>
      <c r="B160" s="9" t="s">
        <v>2724</v>
      </c>
      <c r="C160" s="10">
        <v>130</v>
      </c>
      <c r="D160" s="9" t="s">
        <v>2731</v>
      </c>
      <c r="E160" s="9"/>
      <c r="F160" s="8">
        <v>555</v>
      </c>
      <c r="G160" s="8">
        <v>908</v>
      </c>
      <c r="H160" s="8" t="str">
        <f>VLOOKUP(consultation[[#This Row],[ID_personnel]],personnel_1[],2,FALSE)&amp;" "&amp;VLOOKUP(consultation[[#This Row],[ID_personnel]],personnel_1[],3,FALSE)</f>
        <v>Éadaoin Baal</v>
      </c>
      <c r="I160" s="9" t="str">
        <f>VLOOKUP(consultation[[#This Row],[ID_patient]],patient[],2,FALSE)&amp;" "&amp;VLOOKUP(consultation[[#This Row],[ID_patient]],patient[],3,FALSE)</f>
        <v>Chanel Jérôme</v>
      </c>
      <c r="J160" s="9">
        <f>VLOOKUP(consultation[[#This Row],[ID_patient]],patient[],16,FALSE)</f>
        <v>3</v>
      </c>
      <c r="K160" s="9" t="str">
        <f>VLOOKUP(consultation[[#This Row],[ID_personnel]],personnel_1[],14,FALSE)</f>
        <v>67</v>
      </c>
    </row>
    <row r="161" spans="1:11" x14ac:dyDescent="0.3">
      <c r="A161" s="8">
        <v>166</v>
      </c>
      <c r="B161" s="9" t="s">
        <v>2724</v>
      </c>
      <c r="C161" s="10">
        <v>129</v>
      </c>
      <c r="D161" s="9" t="s">
        <v>2731</v>
      </c>
      <c r="E161" s="9"/>
      <c r="F161" s="8">
        <v>544</v>
      </c>
      <c r="G161" s="8">
        <v>908</v>
      </c>
      <c r="H161" s="8" t="str">
        <f>VLOOKUP(consultation[[#This Row],[ID_personnel]],personnel_1[],2,FALSE)&amp;" "&amp;VLOOKUP(consultation[[#This Row],[ID_personnel]],personnel_1[],3,FALSE)</f>
        <v>Éadaoin Baal</v>
      </c>
      <c r="I161" s="9" t="str">
        <f>VLOOKUP(consultation[[#This Row],[ID_patient]],patient[],2,FALSE)&amp;" "&amp;VLOOKUP(consultation[[#This Row],[ID_patient]],patient[],3,FALSE)</f>
        <v>Coline Newt</v>
      </c>
      <c r="J161" s="9">
        <f>VLOOKUP(consultation[[#This Row],[ID_patient]],patient[],16,FALSE)</f>
        <v>3</v>
      </c>
      <c r="K161" s="9" t="str">
        <f>VLOOKUP(consultation[[#This Row],[ID_personnel]],personnel_1[],14,FALSE)</f>
        <v>67</v>
      </c>
    </row>
    <row r="162" spans="1:11" x14ac:dyDescent="0.3">
      <c r="A162" s="8">
        <v>167</v>
      </c>
      <c r="B162" s="9" t="s">
        <v>2724</v>
      </c>
      <c r="C162" s="10">
        <v>176</v>
      </c>
      <c r="D162" s="9" t="s">
        <v>2728</v>
      </c>
      <c r="E162" s="9"/>
      <c r="F162" s="8">
        <v>403</v>
      </c>
      <c r="G162" s="8">
        <v>979</v>
      </c>
      <c r="H162" s="8" t="str">
        <f>VLOOKUP(consultation[[#This Row],[ID_personnel]],personnel_1[],2,FALSE)&amp;" "&amp;VLOOKUP(consultation[[#This Row],[ID_personnel]],personnel_1[],3,FALSE)</f>
        <v>Éadaoin Baal</v>
      </c>
      <c r="I162" s="9" t="str">
        <f>VLOOKUP(consultation[[#This Row],[ID_patient]],patient[],2,FALSE)&amp;" "&amp;VLOOKUP(consultation[[#This Row],[ID_patient]],patient[],3,FALSE)</f>
        <v>Gigi Edmé</v>
      </c>
      <c r="J162" s="9">
        <f>VLOOKUP(consultation[[#This Row],[ID_patient]],patient[],16,FALSE)</f>
        <v>3</v>
      </c>
      <c r="K162" s="9" t="str">
        <f>VLOOKUP(consultation[[#This Row],[ID_personnel]],personnel_1[],14,FALSE)</f>
        <v>67</v>
      </c>
    </row>
    <row r="163" spans="1:11" x14ac:dyDescent="0.3">
      <c r="A163" s="8">
        <v>168</v>
      </c>
      <c r="B163" s="9" t="s">
        <v>2733</v>
      </c>
      <c r="C163" s="10">
        <v>192</v>
      </c>
      <c r="D163" s="9" t="s">
        <v>2726</v>
      </c>
      <c r="E163" s="9"/>
      <c r="F163" s="8">
        <v>657</v>
      </c>
      <c r="G163" s="8">
        <v>951</v>
      </c>
      <c r="H163" s="8" t="str">
        <f>VLOOKUP(consultation[[#This Row],[ID_personnel]],personnel_1[],2,FALSE)&amp;" "&amp;VLOOKUP(consultation[[#This Row],[ID_personnel]],personnel_1[],3,FALSE)</f>
        <v>Rufino Jaylin</v>
      </c>
      <c r="I163" s="9" t="str">
        <f>VLOOKUP(consultation[[#This Row],[ID_patient]],patient[],2,FALSE)&amp;" "&amp;VLOOKUP(consultation[[#This Row],[ID_patient]],patient[],3,FALSE)</f>
        <v>Hana Joanne</v>
      </c>
      <c r="J163" s="9">
        <f>VLOOKUP(consultation[[#This Row],[ID_patient]],patient[],16,FALSE)</f>
        <v>2</v>
      </c>
      <c r="K163" s="9" t="str">
        <f>VLOOKUP(consultation[[#This Row],[ID_personnel]],personnel_1[],14,FALSE)</f>
        <v>67</v>
      </c>
    </row>
    <row r="164" spans="1:11" x14ac:dyDescent="0.3">
      <c r="A164" s="8">
        <v>169</v>
      </c>
      <c r="B164" s="9" t="s">
        <v>2721</v>
      </c>
      <c r="C164" s="10">
        <v>164</v>
      </c>
      <c r="D164" s="9" t="s">
        <v>2727</v>
      </c>
      <c r="E164" s="9"/>
      <c r="F164" s="8">
        <v>411</v>
      </c>
      <c r="G164" s="8">
        <v>986</v>
      </c>
      <c r="H164" s="8" t="str">
        <f>VLOOKUP(consultation[[#This Row],[ID_personnel]],personnel_1[],2,FALSE)&amp;" "&amp;VLOOKUP(consultation[[#This Row],[ID_personnel]],personnel_1[],3,FALSE)</f>
        <v>Beatrice Ralf</v>
      </c>
      <c r="I164" s="9" t="str">
        <f>VLOOKUP(consultation[[#This Row],[ID_patient]],patient[],2,FALSE)&amp;" "&amp;VLOOKUP(consultation[[#This Row],[ID_patient]],patient[],3,FALSE)</f>
        <v>Ira Svyatopolk</v>
      </c>
      <c r="J164" s="9">
        <f>VLOOKUP(consultation[[#This Row],[ID_patient]],patient[],16,FALSE)</f>
        <v>3</v>
      </c>
      <c r="K164" s="9" t="str">
        <f>VLOOKUP(consultation[[#This Row],[ID_personnel]],personnel_1[],14,FALSE)</f>
        <v>44</v>
      </c>
    </row>
    <row r="165" spans="1:11" x14ac:dyDescent="0.3">
      <c r="A165" s="8">
        <v>170</v>
      </c>
      <c r="B165" s="9" t="s">
        <v>2721</v>
      </c>
      <c r="C165" s="10">
        <v>91</v>
      </c>
      <c r="D165" s="9" t="s">
        <v>2730</v>
      </c>
      <c r="E165" s="9"/>
      <c r="F165" s="8">
        <v>520</v>
      </c>
      <c r="G165" s="8">
        <v>1023</v>
      </c>
      <c r="H165" s="8" t="str">
        <f>VLOOKUP(consultation[[#This Row],[ID_personnel]],personnel_1[],2,FALSE)&amp;" "&amp;VLOOKUP(consultation[[#This Row],[ID_personnel]],personnel_1[],3,FALSE)</f>
        <v>Tormod Joost</v>
      </c>
      <c r="I165" s="9" t="str">
        <f>VLOOKUP(consultation[[#This Row],[ID_patient]],patient[],2,FALSE)&amp;" "&amp;VLOOKUP(consultation[[#This Row],[ID_patient]],patient[],3,FALSE)</f>
        <v>Afanen Kezia</v>
      </c>
      <c r="J165" s="9">
        <f>VLOOKUP(consultation[[#This Row],[ID_patient]],patient[],16,FALSE)</f>
        <v>2</v>
      </c>
      <c r="K165" s="9" t="str">
        <f>VLOOKUP(consultation[[#This Row],[ID_personnel]],personnel_1[],14,FALSE)</f>
        <v>80</v>
      </c>
    </row>
    <row r="166" spans="1:11" x14ac:dyDescent="0.3">
      <c r="A166" s="8">
        <v>171</v>
      </c>
      <c r="B166" s="9" t="s">
        <v>2733</v>
      </c>
      <c r="C166" s="10">
        <v>65</v>
      </c>
      <c r="D166" s="9" t="s">
        <v>2726</v>
      </c>
      <c r="E166" s="9"/>
      <c r="F166" s="8">
        <v>584</v>
      </c>
      <c r="G166" s="8">
        <v>1013</v>
      </c>
      <c r="H166" s="8" t="str">
        <f>VLOOKUP(consultation[[#This Row],[ID_personnel]],personnel_1[],2,FALSE)&amp;" "&amp;VLOOKUP(consultation[[#This Row],[ID_personnel]],personnel_1[],3,FALSE)</f>
        <v>Confucius Ofydd</v>
      </c>
      <c r="I166" s="9" t="str">
        <f>VLOOKUP(consultation[[#This Row],[ID_patient]],patient[],2,FALSE)&amp;" "&amp;VLOOKUP(consultation[[#This Row],[ID_patient]],patient[],3,FALSE)</f>
        <v>Blanca Laverne</v>
      </c>
      <c r="J166" s="9">
        <f>VLOOKUP(consultation[[#This Row],[ID_patient]],patient[],16,FALSE)</f>
        <v>2</v>
      </c>
      <c r="K166" s="9" t="str">
        <f>VLOOKUP(consultation[[#This Row],[ID_personnel]],personnel_1[],14,FALSE)</f>
        <v>50</v>
      </c>
    </row>
    <row r="167" spans="1:11" x14ac:dyDescent="0.3">
      <c r="A167" s="8">
        <v>172</v>
      </c>
      <c r="B167" s="9" t="s">
        <v>2724</v>
      </c>
      <c r="C167" s="10">
        <v>147</v>
      </c>
      <c r="D167" s="9" t="s">
        <v>2731</v>
      </c>
      <c r="E167" s="9"/>
      <c r="F167" s="8">
        <v>456</v>
      </c>
      <c r="G167" s="8">
        <v>971</v>
      </c>
      <c r="H167" s="8" t="str">
        <f>VLOOKUP(consultation[[#This Row],[ID_personnel]],personnel_1[],2,FALSE)&amp;" "&amp;VLOOKUP(consultation[[#This Row],[ID_personnel]],personnel_1[],3,FALSE)</f>
        <v>Sapphire Mahavir</v>
      </c>
      <c r="I167" s="9" t="str">
        <f>VLOOKUP(consultation[[#This Row],[ID_patient]],patient[],2,FALSE)&amp;" "&amp;VLOOKUP(consultation[[#This Row],[ID_patient]],patient[],3,FALSE)</f>
        <v>Renard Jep</v>
      </c>
      <c r="J167" s="9">
        <f>VLOOKUP(consultation[[#This Row],[ID_patient]],patient[],16,FALSE)</f>
        <v>3</v>
      </c>
      <c r="K167" s="9" t="str">
        <f>VLOOKUP(consultation[[#This Row],[ID_personnel]],personnel_1[],14,FALSE)</f>
        <v>52</v>
      </c>
    </row>
    <row r="168" spans="1:11" x14ac:dyDescent="0.3">
      <c r="A168" s="8">
        <v>173</v>
      </c>
      <c r="B168" s="9" t="s">
        <v>2724</v>
      </c>
      <c r="C168" s="10">
        <v>123</v>
      </c>
      <c r="D168" s="9" t="s">
        <v>2731</v>
      </c>
      <c r="E168" s="9"/>
      <c r="F168" s="8">
        <v>629</v>
      </c>
      <c r="G168" s="8">
        <v>956</v>
      </c>
      <c r="H168" s="8" t="str">
        <f>VLOOKUP(consultation[[#This Row],[ID_personnel]],personnel_1[],2,FALSE)&amp;" "&amp;VLOOKUP(consultation[[#This Row],[ID_personnel]],personnel_1[],3,FALSE)</f>
        <v>Ffion Timoteus</v>
      </c>
      <c r="I168" s="9" t="str">
        <f>VLOOKUP(consultation[[#This Row],[ID_patient]],patient[],2,FALSE)&amp;" "&amp;VLOOKUP(consultation[[#This Row],[ID_patient]],patient[],3,FALSE)</f>
        <v>Pearle Bautista</v>
      </c>
      <c r="J168" s="9">
        <f>VLOOKUP(consultation[[#This Row],[ID_patient]],patient[],16,FALSE)</f>
        <v>2</v>
      </c>
      <c r="K168" s="9" t="str">
        <f>VLOOKUP(consultation[[#This Row],[ID_personnel]],personnel_1[],14,FALSE)</f>
        <v>42</v>
      </c>
    </row>
    <row r="169" spans="1:11" x14ac:dyDescent="0.3">
      <c r="A169" s="8">
        <v>174</v>
      </c>
      <c r="B169" s="9" t="s">
        <v>2724</v>
      </c>
      <c r="C169" s="10">
        <v>19</v>
      </c>
      <c r="D169" s="9" t="s">
        <v>2729</v>
      </c>
      <c r="E169" s="9"/>
      <c r="F169" s="8">
        <v>451</v>
      </c>
      <c r="G169" s="8">
        <v>999</v>
      </c>
      <c r="H169" s="8" t="str">
        <f>VLOOKUP(consultation[[#This Row],[ID_personnel]],personnel_1[],2,FALSE)&amp;" "&amp;VLOOKUP(consultation[[#This Row],[ID_personnel]],personnel_1[],3,FALSE)</f>
        <v>Boyd Lanford</v>
      </c>
      <c r="I169" s="9" t="str">
        <f>VLOOKUP(consultation[[#This Row],[ID_patient]],patient[],2,FALSE)&amp;" "&amp;VLOOKUP(consultation[[#This Row],[ID_patient]],patient[],3,FALSE)</f>
        <v>Heinrich Aurore</v>
      </c>
      <c r="J169" s="9">
        <f>VLOOKUP(consultation[[#This Row],[ID_patient]],patient[],16,FALSE)</f>
        <v>3</v>
      </c>
      <c r="K169" s="9" t="str">
        <f>VLOOKUP(consultation[[#This Row],[ID_personnel]],personnel_1[],14,FALSE)</f>
        <v>66</v>
      </c>
    </row>
    <row r="170" spans="1:11" x14ac:dyDescent="0.3">
      <c r="A170" s="8">
        <v>175</v>
      </c>
      <c r="B170" s="9" t="s">
        <v>2721</v>
      </c>
      <c r="C170" s="10">
        <v>146</v>
      </c>
      <c r="D170" s="9" t="s">
        <v>2729</v>
      </c>
      <c r="E170" s="9"/>
      <c r="F170" s="8">
        <v>397</v>
      </c>
      <c r="G170" s="8">
        <v>958</v>
      </c>
      <c r="H170" s="8" t="str">
        <f>VLOOKUP(consultation[[#This Row],[ID_personnel]],personnel_1[],2,FALSE)&amp;" "&amp;VLOOKUP(consultation[[#This Row],[ID_personnel]],personnel_1[],3,FALSE)</f>
        <v>Amadi Tuvya</v>
      </c>
      <c r="I170" s="9" t="str">
        <f>VLOOKUP(consultation[[#This Row],[ID_patient]],patient[],2,FALSE)&amp;" "&amp;VLOOKUP(consultation[[#This Row],[ID_patient]],patient[],3,FALSE)</f>
        <v>Bratumil Czeslaw</v>
      </c>
      <c r="J170" s="9">
        <f>VLOOKUP(consultation[[#This Row],[ID_patient]],patient[],16,FALSE)</f>
        <v>1</v>
      </c>
      <c r="K170" s="9" t="str">
        <f>VLOOKUP(consultation[[#This Row],[ID_personnel]],personnel_1[],14,FALSE)</f>
        <v>50</v>
      </c>
    </row>
    <row r="171" spans="1:11" x14ac:dyDescent="0.3">
      <c r="A171" s="8">
        <v>176</v>
      </c>
      <c r="B171" s="9" t="s">
        <v>2721</v>
      </c>
      <c r="C171" s="10">
        <v>58</v>
      </c>
      <c r="D171" s="9" t="s">
        <v>2728</v>
      </c>
      <c r="E171" s="9"/>
      <c r="F171" s="8">
        <v>459</v>
      </c>
      <c r="G171" s="8">
        <v>995</v>
      </c>
      <c r="H171" s="8" t="str">
        <f>VLOOKUP(consultation[[#This Row],[ID_personnel]],personnel_1[],2,FALSE)&amp;" "&amp;VLOOKUP(consultation[[#This Row],[ID_personnel]],personnel_1[],3,FALSE)</f>
        <v>Shiphrah Eluned</v>
      </c>
      <c r="I171" s="9" t="str">
        <f>VLOOKUP(consultation[[#This Row],[ID_patient]],patient[],2,FALSE)&amp;" "&amp;VLOOKUP(consultation[[#This Row],[ID_patient]],patient[],3,FALSE)</f>
        <v>Eilís Dacre</v>
      </c>
      <c r="J171" s="9">
        <f>VLOOKUP(consultation[[#This Row],[ID_patient]],patient[],16,FALSE)</f>
        <v>3</v>
      </c>
      <c r="K171" s="9" t="str">
        <f>VLOOKUP(consultation[[#This Row],[ID_personnel]],personnel_1[],14,FALSE)</f>
        <v>42</v>
      </c>
    </row>
    <row r="172" spans="1:11" x14ac:dyDescent="0.3">
      <c r="A172" s="8">
        <v>177</v>
      </c>
      <c r="B172" s="9" t="s">
        <v>2721</v>
      </c>
      <c r="C172" s="10">
        <v>237</v>
      </c>
      <c r="D172" s="9" t="s">
        <v>2723</v>
      </c>
      <c r="E172" s="9"/>
      <c r="F172" s="8">
        <v>348</v>
      </c>
      <c r="G172" s="8">
        <v>928</v>
      </c>
      <c r="H172" s="8" t="str">
        <f>VLOOKUP(consultation[[#This Row],[ID_personnel]],personnel_1[],2,FALSE)&amp;" "&amp;VLOOKUP(consultation[[#This Row],[ID_personnel]],personnel_1[],3,FALSE)</f>
        <v>Boyd Lanford</v>
      </c>
      <c r="I172" s="9" t="str">
        <f>VLOOKUP(consultation[[#This Row],[ID_patient]],patient[],2,FALSE)&amp;" "&amp;VLOOKUP(consultation[[#This Row],[ID_patient]],patient[],3,FALSE)</f>
        <v>Anton Eutropius</v>
      </c>
      <c r="J172" s="9">
        <f>VLOOKUP(consultation[[#This Row],[ID_patient]],patient[],16,FALSE)</f>
        <v>2</v>
      </c>
      <c r="K172" s="9" t="str">
        <f>VLOOKUP(consultation[[#This Row],[ID_personnel]],personnel_1[],14,FALSE)</f>
        <v>66</v>
      </c>
    </row>
    <row r="173" spans="1:11" x14ac:dyDescent="0.3">
      <c r="A173" s="8">
        <v>178</v>
      </c>
      <c r="B173" s="9" t="s">
        <v>2721</v>
      </c>
      <c r="C173" s="10">
        <v>178</v>
      </c>
      <c r="D173" s="9" t="s">
        <v>2722</v>
      </c>
      <c r="E173" s="9"/>
      <c r="F173" s="8">
        <v>512</v>
      </c>
      <c r="G173" s="8">
        <v>932</v>
      </c>
      <c r="H173" s="8" t="str">
        <f>VLOOKUP(consultation[[#This Row],[ID_personnel]],personnel_1[],2,FALSE)&amp;" "&amp;VLOOKUP(consultation[[#This Row],[ID_personnel]],personnel_1[],3,FALSE)</f>
        <v>Sorcha Peni</v>
      </c>
      <c r="I173" s="9" t="str">
        <f>VLOOKUP(consultation[[#This Row],[ID_patient]],patient[],2,FALSE)&amp;" "&amp;VLOOKUP(consultation[[#This Row],[ID_patient]],patient[],3,FALSE)</f>
        <v>Deja Edsel</v>
      </c>
      <c r="J173" s="9">
        <f>VLOOKUP(consultation[[#This Row],[ID_patient]],patient[],16,FALSE)</f>
        <v>1</v>
      </c>
      <c r="K173" s="9" t="str">
        <f>VLOOKUP(consultation[[#This Row],[ID_personnel]],personnel_1[],14,FALSE)</f>
        <v>69</v>
      </c>
    </row>
    <row r="174" spans="1:11" x14ac:dyDescent="0.3">
      <c r="A174" s="8">
        <v>179</v>
      </c>
      <c r="B174" s="9" t="s">
        <v>2721</v>
      </c>
      <c r="C174" s="10">
        <v>146</v>
      </c>
      <c r="D174" s="9" t="s">
        <v>2732</v>
      </c>
      <c r="E174" s="9"/>
      <c r="F174" s="8">
        <v>429</v>
      </c>
      <c r="G174" s="8">
        <v>931</v>
      </c>
      <c r="H174" s="8" t="str">
        <f>VLOOKUP(consultation[[#This Row],[ID_personnel]],personnel_1[],2,FALSE)&amp;" "&amp;VLOOKUP(consultation[[#This Row],[ID_personnel]],personnel_1[],3,FALSE)</f>
        <v>Foka Akeem</v>
      </c>
      <c r="I174" s="9" t="str">
        <f>VLOOKUP(consultation[[#This Row],[ID_patient]],patient[],2,FALSE)&amp;" "&amp;VLOOKUP(consultation[[#This Row],[ID_patient]],patient[],3,FALSE)</f>
        <v>Pancrazio Katey</v>
      </c>
      <c r="J174" s="9">
        <f>VLOOKUP(consultation[[#This Row],[ID_patient]],patient[],16,FALSE)</f>
        <v>3</v>
      </c>
      <c r="K174" s="9" t="str">
        <f>VLOOKUP(consultation[[#This Row],[ID_personnel]],personnel_1[],14,FALSE)</f>
        <v>40</v>
      </c>
    </row>
    <row r="175" spans="1:11" x14ac:dyDescent="0.3">
      <c r="A175" s="8">
        <v>180</v>
      </c>
      <c r="B175" s="9" t="s">
        <v>2724</v>
      </c>
      <c r="C175" s="10">
        <v>131</v>
      </c>
      <c r="D175" s="9" t="s">
        <v>2723</v>
      </c>
      <c r="E175" s="9"/>
      <c r="F175" s="8">
        <v>525</v>
      </c>
      <c r="G175" s="8">
        <v>892</v>
      </c>
      <c r="H175" s="8" t="str">
        <f>VLOOKUP(consultation[[#This Row],[ID_personnel]],personnel_1[],2,FALSE)&amp;" "&amp;VLOOKUP(consultation[[#This Row],[ID_personnel]],personnel_1[],3,FALSE)</f>
        <v>Wojciech Fachtna</v>
      </c>
      <c r="I175" s="9" t="str">
        <f>VLOOKUP(consultation[[#This Row],[ID_patient]],patient[],2,FALSE)&amp;" "&amp;VLOOKUP(consultation[[#This Row],[ID_patient]],patient[],3,FALSE)</f>
        <v>Augusta Imre</v>
      </c>
      <c r="J175" s="9">
        <f>VLOOKUP(consultation[[#This Row],[ID_patient]],patient[],16,FALSE)</f>
        <v>2</v>
      </c>
      <c r="K175" s="9" t="str">
        <f>VLOOKUP(consultation[[#This Row],[ID_personnel]],personnel_1[],14,FALSE)</f>
        <v>66</v>
      </c>
    </row>
    <row r="176" spans="1:11" x14ac:dyDescent="0.3">
      <c r="A176" s="8">
        <v>181</v>
      </c>
      <c r="B176" s="9" t="s">
        <v>2721</v>
      </c>
      <c r="C176" s="10">
        <v>113</v>
      </c>
      <c r="D176" s="9" t="s">
        <v>2729</v>
      </c>
      <c r="E176" s="9"/>
      <c r="F176" s="8">
        <v>544</v>
      </c>
      <c r="G176" s="8">
        <v>1006</v>
      </c>
      <c r="H176" s="8" t="str">
        <f>VLOOKUP(consultation[[#This Row],[ID_personnel]],personnel_1[],2,FALSE)&amp;" "&amp;VLOOKUP(consultation[[#This Row],[ID_personnel]],personnel_1[],3,FALSE)</f>
        <v>Marla Ward</v>
      </c>
      <c r="I176" s="9" t="str">
        <f>VLOOKUP(consultation[[#This Row],[ID_patient]],patient[],2,FALSE)&amp;" "&amp;VLOOKUP(consultation[[#This Row],[ID_patient]],patient[],3,FALSE)</f>
        <v>Coline Newt</v>
      </c>
      <c r="J176" s="9">
        <f>VLOOKUP(consultation[[#This Row],[ID_patient]],patient[],16,FALSE)</f>
        <v>3</v>
      </c>
      <c r="K176" s="9" t="str">
        <f>VLOOKUP(consultation[[#This Row],[ID_personnel]],personnel_1[],14,FALSE)</f>
        <v>42</v>
      </c>
    </row>
    <row r="177" spans="1:11" x14ac:dyDescent="0.3">
      <c r="A177" s="8">
        <v>182</v>
      </c>
      <c r="B177" s="9" t="s">
        <v>2724</v>
      </c>
      <c r="C177" s="10">
        <v>75</v>
      </c>
      <c r="D177" s="9" t="s">
        <v>2731</v>
      </c>
      <c r="E177" s="9"/>
      <c r="F177" s="8">
        <v>635</v>
      </c>
      <c r="G177" s="8">
        <v>969</v>
      </c>
      <c r="H177" s="8" t="str">
        <f>VLOOKUP(consultation[[#This Row],[ID_personnel]],personnel_1[],2,FALSE)&amp;" "&amp;VLOOKUP(consultation[[#This Row],[ID_personnel]],personnel_1[],3,FALSE)</f>
        <v>Przemo Hedda</v>
      </c>
      <c r="I177" s="9" t="str">
        <f>VLOOKUP(consultation[[#This Row],[ID_patient]],patient[],2,FALSE)&amp;" "&amp;VLOOKUP(consultation[[#This Row],[ID_patient]],patient[],3,FALSE)</f>
        <v>Xenon Mabella</v>
      </c>
      <c r="J177" s="9">
        <f>VLOOKUP(consultation[[#This Row],[ID_patient]],patient[],16,FALSE)</f>
        <v>3</v>
      </c>
      <c r="K177" s="9" t="str">
        <f>VLOOKUP(consultation[[#This Row],[ID_personnel]],personnel_1[],14,FALSE)</f>
        <v>66</v>
      </c>
    </row>
    <row r="178" spans="1:11" x14ac:dyDescent="0.3">
      <c r="A178" s="8">
        <v>183</v>
      </c>
      <c r="B178" s="9" t="s">
        <v>2724</v>
      </c>
      <c r="C178" s="10">
        <v>89</v>
      </c>
      <c r="D178" s="9" t="s">
        <v>2730</v>
      </c>
      <c r="E178" s="9"/>
      <c r="F178" s="8">
        <v>338</v>
      </c>
      <c r="G178" s="8">
        <v>952</v>
      </c>
      <c r="H178" s="8" t="str">
        <f>VLOOKUP(consultation[[#This Row],[ID_personnel]],personnel_1[],2,FALSE)&amp;" "&amp;VLOOKUP(consultation[[#This Row],[ID_personnel]],personnel_1[],3,FALSE)</f>
        <v>Tormod Joost</v>
      </c>
      <c r="I178" s="9" t="str">
        <f>VLOOKUP(consultation[[#This Row],[ID_patient]],patient[],2,FALSE)&amp;" "&amp;VLOOKUP(consultation[[#This Row],[ID_patient]],patient[],3,FALSE)</f>
        <v>Frang Kevork</v>
      </c>
      <c r="J178" s="9">
        <f>VLOOKUP(consultation[[#This Row],[ID_patient]],patient[],16,FALSE)</f>
        <v>2</v>
      </c>
      <c r="K178" s="9" t="str">
        <f>VLOOKUP(consultation[[#This Row],[ID_personnel]],personnel_1[],14,FALSE)</f>
        <v>80</v>
      </c>
    </row>
    <row r="179" spans="1:11" x14ac:dyDescent="0.3">
      <c r="A179" s="8">
        <v>184</v>
      </c>
      <c r="B179" s="9" t="s">
        <v>2733</v>
      </c>
      <c r="C179" s="10">
        <v>244</v>
      </c>
      <c r="D179" s="9" t="s">
        <v>2732</v>
      </c>
      <c r="E179" s="9"/>
      <c r="F179" s="8">
        <v>388</v>
      </c>
      <c r="G179" s="8">
        <v>897</v>
      </c>
      <c r="H179" s="8" t="str">
        <f>VLOOKUP(consultation[[#This Row],[ID_personnel]],personnel_1[],2,FALSE)&amp;" "&amp;VLOOKUP(consultation[[#This Row],[ID_personnel]],personnel_1[],3,FALSE)</f>
        <v>Linford Yaffa</v>
      </c>
      <c r="I179" s="9" t="str">
        <f>VLOOKUP(consultation[[#This Row],[ID_patient]],patient[],2,FALSE)&amp;" "&amp;VLOOKUP(consultation[[#This Row],[ID_patient]],patient[],3,FALSE)</f>
        <v>Antonio Szilvia</v>
      </c>
      <c r="J179" s="9">
        <f>VLOOKUP(consultation[[#This Row],[ID_patient]],patient[],16,FALSE)</f>
        <v>2</v>
      </c>
      <c r="K179" s="9" t="str">
        <f>VLOOKUP(consultation[[#This Row],[ID_personnel]],personnel_1[],14,FALSE)</f>
        <v>71</v>
      </c>
    </row>
    <row r="180" spans="1:11" x14ac:dyDescent="0.3">
      <c r="A180" s="8">
        <v>185</v>
      </c>
      <c r="B180" s="9" t="s">
        <v>2724</v>
      </c>
      <c r="C180" s="10">
        <v>800</v>
      </c>
      <c r="D180" s="9" t="s">
        <v>2750</v>
      </c>
      <c r="E180" s="9"/>
      <c r="F180" s="8">
        <v>332</v>
      </c>
      <c r="G180" s="8">
        <v>885</v>
      </c>
      <c r="H180" s="9" t="str">
        <f>VLOOKUP(consultation[[#This Row],[ID_personnel]],personnel_1[],2,FALSE)&amp;" "&amp;VLOOKUP(consultation[[#This Row],[ID_personnel]],personnel_1[],3,FALSE)</f>
        <v>Ffion Timoteus</v>
      </c>
      <c r="I180" s="9" t="str">
        <f>VLOOKUP(consultation[[#This Row],[ID_patient]],patient[],2,FALSE)&amp;" "&amp;VLOOKUP(consultation[[#This Row],[ID_patient]],patient[],3,FALSE)</f>
        <v>Zloch Baptiste</v>
      </c>
      <c r="J180" s="9">
        <f>VLOOKUP(consultation[[#This Row],[ID_patient]],patient[],16,FALSE)</f>
        <v>3</v>
      </c>
      <c r="K180" s="9" t="str">
        <f>VLOOKUP(consultation[[#This Row],[ID_personnel]],personnel_1[],14,FALSE)</f>
        <v>42</v>
      </c>
    </row>
    <row r="181" spans="1:11" x14ac:dyDescent="0.3">
      <c r="A181" s="8">
        <v>186</v>
      </c>
      <c r="B181" s="9" t="s">
        <v>2724</v>
      </c>
      <c r="C181" s="10">
        <v>8</v>
      </c>
      <c r="D181" s="9" t="s">
        <v>2752</v>
      </c>
      <c r="E181" s="9"/>
      <c r="F181" s="8">
        <v>338</v>
      </c>
      <c r="G181" s="8">
        <v>905</v>
      </c>
      <c r="H181" s="9" t="str">
        <f>VLOOKUP(consultation[[#This Row],[ID_personnel]],personnel_1[],2,FALSE)&amp;" "&amp;VLOOKUP(consultation[[#This Row],[ID_personnel]],personnel_1[],3,FALSE)</f>
        <v>Ömer Ronald</v>
      </c>
      <c r="I181" s="9" t="str">
        <f>VLOOKUP(consultation[[#This Row],[ID_patient]],patient[],2,FALSE)&amp;" "&amp;VLOOKUP(consultation[[#This Row],[ID_patient]],patient[],3,FALSE)</f>
        <v>Frang Kevork</v>
      </c>
      <c r="J181" s="9">
        <f>VLOOKUP(consultation[[#This Row],[ID_patient]],patient[],16,FALSE)</f>
        <v>2</v>
      </c>
      <c r="K181" s="9" t="str">
        <f>VLOOKUP(consultation[[#This Row],[ID_personnel]],personnel_1[],14,FALSE)</f>
        <v>65</v>
      </c>
    </row>
    <row r="182" spans="1:11" x14ac:dyDescent="0.3">
      <c r="A182" s="8">
        <v>187</v>
      </c>
      <c r="B182" s="9" t="s">
        <v>2733</v>
      </c>
      <c r="C182" s="10">
        <v>80</v>
      </c>
      <c r="D182" s="9" t="s">
        <v>2723</v>
      </c>
      <c r="E182" s="9"/>
      <c r="F182" s="8">
        <v>537</v>
      </c>
      <c r="G182" s="8">
        <v>980</v>
      </c>
      <c r="H182" s="9" t="str">
        <f>VLOOKUP(consultation[[#This Row],[ID_personnel]],personnel_1[],2,FALSE)&amp;" "&amp;VLOOKUP(consultation[[#This Row],[ID_personnel]],personnel_1[],3,FALSE)</f>
        <v>Sophie Carlton</v>
      </c>
      <c r="I182" s="9" t="str">
        <f>VLOOKUP(consultation[[#This Row],[ID_patient]],patient[],2,FALSE)&amp;" "&amp;VLOOKUP(consultation[[#This Row],[ID_patient]],patient[],3,FALSE)</f>
        <v>Gruffud Chantel</v>
      </c>
      <c r="J182" s="9">
        <f>VLOOKUP(consultation[[#This Row],[ID_patient]],patient[],16,FALSE)</f>
        <v>1</v>
      </c>
      <c r="K182" s="9" t="str">
        <f>VLOOKUP(consultation[[#This Row],[ID_personnel]],personnel_1[],14,FALSE)</f>
        <v>51</v>
      </c>
    </row>
    <row r="183" spans="1:11" x14ac:dyDescent="0.3">
      <c r="A183" s="8">
        <v>188</v>
      </c>
      <c r="B183" s="9" t="s">
        <v>2733</v>
      </c>
      <c r="C183" s="10">
        <v>50</v>
      </c>
      <c r="D183" s="9" t="s">
        <v>2753</v>
      </c>
      <c r="E183" s="9"/>
      <c r="F183" s="8">
        <v>332</v>
      </c>
      <c r="G183" s="8">
        <v>1022</v>
      </c>
      <c r="H183" s="9" t="str">
        <f>VLOOKUP(consultation[[#This Row],[ID_personnel]],personnel_1[],2,FALSE)&amp;" "&amp;VLOOKUP(consultation[[#This Row],[ID_personnel]],personnel_1[],3,FALSE)</f>
        <v>Rufino Jaylin</v>
      </c>
      <c r="I183" s="9" t="str">
        <f>VLOOKUP(consultation[[#This Row],[ID_patient]],patient[],2,FALSE)&amp;" "&amp;VLOOKUP(consultation[[#This Row],[ID_patient]],patient[],3,FALSE)</f>
        <v>Zloch Baptiste</v>
      </c>
      <c r="J183" s="9">
        <f>VLOOKUP(consultation[[#This Row],[ID_patient]],patient[],16,FALSE)</f>
        <v>3</v>
      </c>
      <c r="K183" s="9" t="str">
        <f>VLOOKUP(consultation[[#This Row],[ID_personnel]],personnel_1[],14,FALSE)</f>
        <v>67</v>
      </c>
    </row>
    <row r="184" spans="1:11" x14ac:dyDescent="0.3">
      <c r="A184" s="8">
        <v>189</v>
      </c>
      <c r="B184" s="9" t="s">
        <v>2733</v>
      </c>
      <c r="C184" s="10">
        <v>900</v>
      </c>
      <c r="D184" s="9" t="s">
        <v>2754</v>
      </c>
      <c r="E184" s="9"/>
      <c r="F184" s="8">
        <v>339</v>
      </c>
      <c r="G184" s="8">
        <v>890</v>
      </c>
      <c r="H184" s="9" t="str">
        <f>VLOOKUP(consultation[[#This Row],[ID_personnel]],personnel_1[],2,FALSE)&amp;" "&amp;VLOOKUP(consultation[[#This Row],[ID_personnel]],personnel_1[],3,FALSE)</f>
        <v>Miranda Tina</v>
      </c>
      <c r="I184" s="9" t="str">
        <f>VLOOKUP(consultation[[#This Row],[ID_patient]],patient[],2,FALSE)&amp;" "&amp;VLOOKUP(consultation[[#This Row],[ID_patient]],patient[],3,FALSE)</f>
        <v>Babette Stanislas</v>
      </c>
      <c r="J184" s="9">
        <f>VLOOKUP(consultation[[#This Row],[ID_patient]],patient[],16,FALSE)</f>
        <v>2</v>
      </c>
      <c r="K184" s="9" t="str">
        <f>VLOOKUP(consultation[[#This Row],[ID_personnel]],personnel_1[],14,FALSE)</f>
        <v>71</v>
      </c>
    </row>
    <row r="185" spans="1:11" x14ac:dyDescent="0.3">
      <c r="A185" s="8">
        <v>190</v>
      </c>
      <c r="B185" s="9" t="s">
        <v>2721</v>
      </c>
      <c r="C185" s="10">
        <v>80</v>
      </c>
      <c r="D185" s="9" t="s">
        <v>2755</v>
      </c>
      <c r="E185" s="9"/>
      <c r="F185" s="8">
        <v>332</v>
      </c>
      <c r="G185" s="8">
        <v>896</v>
      </c>
      <c r="H185" s="9" t="str">
        <f>VLOOKUP(consultation[[#This Row],[ID_personnel]],personnel_1[],2,FALSE)&amp;" "&amp;VLOOKUP(consultation[[#This Row],[ID_personnel]],personnel_1[],3,FALSE)</f>
        <v>Pearle Reynaud</v>
      </c>
      <c r="I185" s="9" t="str">
        <f>VLOOKUP(consultation[[#This Row],[ID_patient]],patient[],2,FALSE)&amp;" "&amp;VLOOKUP(consultation[[#This Row],[ID_patient]],patient[],3,FALSE)</f>
        <v>Zloch Baptiste</v>
      </c>
      <c r="J185" s="9">
        <f>VLOOKUP(consultation[[#This Row],[ID_patient]],patient[],16,FALSE)</f>
        <v>3</v>
      </c>
      <c r="K185" s="9" t="str">
        <f>VLOOKUP(consultation[[#This Row],[ID_personnel]],personnel_1[],14,FALSE)</f>
        <v>68</v>
      </c>
    </row>
    <row r="186" spans="1:11" x14ac:dyDescent="0.3">
      <c r="A186" s="8">
        <v>191</v>
      </c>
      <c r="B186" s="9" t="s">
        <v>2724</v>
      </c>
      <c r="C186" s="10">
        <v>90</v>
      </c>
      <c r="D186" s="9" t="s">
        <v>2756</v>
      </c>
      <c r="E186" s="9"/>
      <c r="F186" s="8">
        <v>333</v>
      </c>
      <c r="G186" s="8">
        <v>911</v>
      </c>
      <c r="H186" s="9" t="str">
        <f>VLOOKUP(consultation[[#This Row],[ID_personnel]],personnel_1[],2,FALSE)&amp;" "&amp;VLOOKUP(consultation[[#This Row],[ID_personnel]],personnel_1[],3,FALSE)</f>
        <v>Sancho Christophe</v>
      </c>
      <c r="I186" s="9" t="str">
        <f>VLOOKUP(consultation[[#This Row],[ID_patient]],patient[],2,FALSE)&amp;" "&amp;VLOOKUP(consultation[[#This Row],[ID_patient]],patient[],3,FALSE)</f>
        <v>Otis Mirjam</v>
      </c>
      <c r="J186" s="9">
        <f>VLOOKUP(consultation[[#This Row],[ID_patient]],patient[],16,FALSE)</f>
        <v>3</v>
      </c>
      <c r="K186" s="9" t="str">
        <f>VLOOKUP(consultation[[#This Row],[ID_personnel]],personnel_1[],14,FALSE)</f>
        <v>68</v>
      </c>
    </row>
    <row r="187" spans="1:11" x14ac:dyDescent="0.3">
      <c r="A187" s="8">
        <v>192</v>
      </c>
      <c r="B187" s="9" t="s">
        <v>2721</v>
      </c>
      <c r="C187" s="10">
        <v>90</v>
      </c>
      <c r="D187" s="9" t="s">
        <v>2757</v>
      </c>
      <c r="E187" s="9"/>
      <c r="F187" s="8">
        <v>337</v>
      </c>
      <c r="G187" s="8">
        <v>885</v>
      </c>
      <c r="H187" s="9" t="str">
        <f>VLOOKUP(consultation[[#This Row],[ID_personnel]],personnel_1[],2,FALSE)&amp;" "&amp;VLOOKUP(consultation[[#This Row],[ID_personnel]],personnel_1[],3,FALSE)</f>
        <v>Ffion Timoteus</v>
      </c>
      <c r="I187" s="9" t="str">
        <f>VLOOKUP(consultation[[#This Row],[ID_patient]],patient[],2,FALSE)&amp;" "&amp;VLOOKUP(consultation[[#This Row],[ID_patient]],patient[],3,FALSE)</f>
        <v>Roald Ingemar</v>
      </c>
      <c r="J187" s="9">
        <f>VLOOKUP(consultation[[#This Row],[ID_patient]],patient[],16,FALSE)</f>
        <v>1</v>
      </c>
      <c r="K187" s="9" t="str">
        <f>VLOOKUP(consultation[[#This Row],[ID_personnel]],personnel_1[],14,FALSE)</f>
        <v>42</v>
      </c>
    </row>
    <row r="188" spans="1:11" x14ac:dyDescent="0.3">
      <c r="A188" s="8">
        <v>193</v>
      </c>
      <c r="B188" s="9" t="s">
        <v>2733</v>
      </c>
      <c r="C188" s="10">
        <v>799</v>
      </c>
      <c r="D188" s="9" t="s">
        <v>2758</v>
      </c>
      <c r="E188" s="9"/>
      <c r="F188" s="8">
        <v>335</v>
      </c>
      <c r="G188" s="8">
        <v>886</v>
      </c>
      <c r="H188" s="9" t="str">
        <f>VLOOKUP(consultation[[#This Row],[ID_personnel]],personnel_1[],2,FALSE)&amp;" "&amp;VLOOKUP(consultation[[#This Row],[ID_personnel]],personnel_1[],3,FALSE)</f>
        <v>Arcadia Veera</v>
      </c>
      <c r="I188" s="9" t="str">
        <f>VLOOKUP(consultation[[#This Row],[ID_patient]],patient[],2,FALSE)&amp;" "&amp;VLOOKUP(consultation[[#This Row],[ID_patient]],patient[],3,FALSE)</f>
        <v>Basma Janus</v>
      </c>
      <c r="J188" s="9">
        <f>VLOOKUP(consultation[[#This Row],[ID_patient]],patient[],16,FALSE)</f>
        <v>3</v>
      </c>
      <c r="K188" s="9" t="str">
        <f>VLOOKUP(consultation[[#This Row],[ID_personnel]],personnel_1[],14,FALSE)</f>
        <v>67</v>
      </c>
    </row>
    <row r="189" spans="1:11" x14ac:dyDescent="0.3">
      <c r="A189" s="8">
        <v>194</v>
      </c>
      <c r="B189" s="9" t="s">
        <v>2733</v>
      </c>
      <c r="C189" s="10">
        <v>90</v>
      </c>
      <c r="D189" s="9" t="s">
        <v>2759</v>
      </c>
      <c r="E189" s="9"/>
      <c r="F189" s="8">
        <v>334</v>
      </c>
      <c r="G189" s="8">
        <v>884</v>
      </c>
      <c r="H189" s="9" t="e">
        <f>VLOOKUP(consultation[[#This Row],[ID_personnel]],personnel_1[],2,FALSE)&amp;" "&amp;VLOOKUP(consultation[[#This Row],[ID_personnel]],personnel_1[],3,FALSE)</f>
        <v>#N/A</v>
      </c>
      <c r="I189" s="9" t="str">
        <f>VLOOKUP(consultation[[#This Row],[ID_patient]],patient[],2,FALSE)&amp;" "&amp;VLOOKUP(consultation[[#This Row],[ID_patient]],patient[],3,FALSE)</f>
        <v>Archimedes Griffith</v>
      </c>
      <c r="J189" s="9">
        <f>VLOOKUP(consultation[[#This Row],[ID_patient]],patient[],16,FALSE)</f>
        <v>3</v>
      </c>
      <c r="K189" s="9" t="e">
        <f>VLOOKUP(consultation[[#This Row],[ID_personnel]],personnel_1[],14,FALSE)</f>
        <v>#N/A</v>
      </c>
    </row>
    <row r="190" spans="1:11" x14ac:dyDescent="0.3">
      <c r="A190" s="8">
        <v>195</v>
      </c>
      <c r="B190" s="9" t="s">
        <v>2733</v>
      </c>
      <c r="C190" s="10">
        <v>90</v>
      </c>
      <c r="D190" s="9" t="s">
        <v>2783</v>
      </c>
      <c r="E190" s="9"/>
      <c r="F190" s="8">
        <v>332</v>
      </c>
      <c r="G190" s="8">
        <v>885</v>
      </c>
      <c r="H190" s="9" t="str">
        <f>VLOOKUP(consultation[[#This Row],[ID_personnel]],personnel_1[],2,FALSE)&amp;" "&amp;VLOOKUP(consultation[[#This Row],[ID_personnel]],personnel_1[],3,FALSE)</f>
        <v>Ffion Timoteus</v>
      </c>
      <c r="I190" s="9" t="str">
        <f>VLOOKUP(consultation[[#This Row],[ID_patient]],patient[],2,FALSE)&amp;" "&amp;VLOOKUP(consultation[[#This Row],[ID_patient]],patient[],3,FALSE)</f>
        <v>Zloch Baptiste</v>
      </c>
      <c r="J190" s="9">
        <f>VLOOKUP(consultation[[#This Row],[ID_patient]],patient[],16,FALSE)</f>
        <v>3</v>
      </c>
      <c r="K190" s="9" t="str">
        <f>VLOOKUP(consultation[[#This Row],[ID_personnel]],personnel_1[],14,FALSE)</f>
        <v>42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2"/>
  <dimension ref="A1:E46"/>
  <sheetViews>
    <sheetView workbookViewId="0">
      <pane ySplit="1" topLeftCell="A2" activePane="bottomLeft" state="frozen"/>
      <selection pane="bottomLeft" activeCell="F16" sqref="F16"/>
    </sheetView>
  </sheetViews>
  <sheetFormatPr baseColWidth="10" defaultRowHeight="14.4" x14ac:dyDescent="0.3"/>
  <cols>
    <col min="1" max="1" width="14" bestFit="1" customWidth="1"/>
    <col min="2" max="2" width="16.5546875" bestFit="1" customWidth="1"/>
    <col min="3" max="3" width="10.33203125" bestFit="1" customWidth="1"/>
    <col min="4" max="4" width="19.6640625" bestFit="1" customWidth="1"/>
    <col min="5" max="5" width="22.33203125" bestFit="1" customWidth="1"/>
  </cols>
  <sheetData>
    <row r="1" spans="1:5" x14ac:dyDescent="0.3">
      <c r="A1" s="8" t="s">
        <v>19</v>
      </c>
      <c r="B1" s="8" t="s">
        <v>2734</v>
      </c>
      <c r="C1" s="8" t="s">
        <v>948</v>
      </c>
      <c r="D1" s="8" t="s">
        <v>18</v>
      </c>
      <c r="E1" s="8" t="s">
        <v>2749</v>
      </c>
    </row>
    <row r="2" spans="1:5" x14ac:dyDescent="0.3">
      <c r="A2" s="8">
        <v>40</v>
      </c>
      <c r="B2" s="9" t="s">
        <v>949</v>
      </c>
      <c r="C2" s="8">
        <v>0</v>
      </c>
      <c r="D2" s="8">
        <v>1</v>
      </c>
      <c r="E2" s="8" t="str">
        <f>VLOOKUP(service[[#This Row],[ID_etablissement]],etablissement[],2,FALSE)</f>
        <v>5 rue Berger</v>
      </c>
    </row>
    <row r="3" spans="1:5" x14ac:dyDescent="0.3">
      <c r="A3" s="8">
        <v>41</v>
      </c>
      <c r="B3" s="9" t="s">
        <v>949</v>
      </c>
      <c r="C3" s="8">
        <v>5</v>
      </c>
      <c r="D3" s="8">
        <v>2</v>
      </c>
      <c r="E3" s="8" t="str">
        <f>VLOOKUP(service[[#This Row],[ID_etablissement]],etablissement[],2,FALSE)</f>
        <v>3 boulevard Malesherbes</v>
      </c>
    </row>
    <row r="4" spans="1:5" x14ac:dyDescent="0.3">
      <c r="A4" s="8">
        <v>42</v>
      </c>
      <c r="B4" s="9" t="s">
        <v>949</v>
      </c>
      <c r="C4" s="8">
        <v>6</v>
      </c>
      <c r="D4" s="8">
        <v>3</v>
      </c>
      <c r="E4" s="8" t="str">
        <f>VLOOKUP(service[[#This Row],[ID_etablissement]],etablissement[],2,FALSE)</f>
        <v>19 rue des Gobelins</v>
      </c>
    </row>
    <row r="5" spans="1:5" x14ac:dyDescent="0.3">
      <c r="A5" s="8">
        <v>43</v>
      </c>
      <c r="B5" s="9" t="s">
        <v>952</v>
      </c>
      <c r="C5" s="8">
        <v>4</v>
      </c>
      <c r="D5" s="8">
        <v>1</v>
      </c>
      <c r="E5" s="8" t="str">
        <f>VLOOKUP(service[[#This Row],[ID_etablissement]],etablissement[],2,FALSE)</f>
        <v>5 rue Berger</v>
      </c>
    </row>
    <row r="6" spans="1:5" x14ac:dyDescent="0.3">
      <c r="A6" s="8">
        <v>44</v>
      </c>
      <c r="B6" s="9" t="s">
        <v>952</v>
      </c>
      <c r="C6" s="8">
        <v>3</v>
      </c>
      <c r="D6" s="8">
        <v>2</v>
      </c>
      <c r="E6" s="8" t="str">
        <f>VLOOKUP(service[[#This Row],[ID_etablissement]],etablissement[],2,FALSE)</f>
        <v>3 boulevard Malesherbes</v>
      </c>
    </row>
    <row r="7" spans="1:5" x14ac:dyDescent="0.3">
      <c r="A7" s="8">
        <v>45</v>
      </c>
      <c r="B7" s="9" t="s">
        <v>952</v>
      </c>
      <c r="C7" s="8">
        <v>3</v>
      </c>
      <c r="D7" s="8">
        <v>3</v>
      </c>
      <c r="E7" s="8" t="str">
        <f>VLOOKUP(service[[#This Row],[ID_etablissement]],etablissement[],2,FALSE)</f>
        <v>19 rue des Gobelins</v>
      </c>
    </row>
    <row r="8" spans="1:5" x14ac:dyDescent="0.3">
      <c r="A8" s="8">
        <v>46</v>
      </c>
      <c r="B8" s="9" t="s">
        <v>953</v>
      </c>
      <c r="C8" s="8">
        <v>3</v>
      </c>
      <c r="D8" s="8">
        <v>1</v>
      </c>
      <c r="E8" s="8" t="str">
        <f>VLOOKUP(service[[#This Row],[ID_etablissement]],etablissement[],2,FALSE)</f>
        <v>5 rue Berger</v>
      </c>
    </row>
    <row r="9" spans="1:5" x14ac:dyDescent="0.3">
      <c r="A9" s="8">
        <v>47</v>
      </c>
      <c r="B9" s="9" t="s">
        <v>953</v>
      </c>
      <c r="C9" s="8">
        <v>4</v>
      </c>
      <c r="D9" s="8">
        <v>2</v>
      </c>
      <c r="E9" s="8" t="str">
        <f>VLOOKUP(service[[#This Row],[ID_etablissement]],etablissement[],2,FALSE)</f>
        <v>3 boulevard Malesherbes</v>
      </c>
    </row>
    <row r="10" spans="1:5" x14ac:dyDescent="0.3">
      <c r="A10" s="8">
        <v>48</v>
      </c>
      <c r="B10" s="9" t="s">
        <v>953</v>
      </c>
      <c r="C10" s="8">
        <v>3</v>
      </c>
      <c r="D10" s="8">
        <v>3</v>
      </c>
      <c r="E10" s="8" t="str">
        <f>VLOOKUP(service[[#This Row],[ID_etablissement]],etablissement[],2,FALSE)</f>
        <v>19 rue des Gobelins</v>
      </c>
    </row>
    <row r="11" spans="1:5" x14ac:dyDescent="0.3">
      <c r="A11" s="8">
        <v>49</v>
      </c>
      <c r="B11" s="9" t="s">
        <v>954</v>
      </c>
      <c r="C11" s="8">
        <v>3</v>
      </c>
      <c r="D11" s="8">
        <v>1</v>
      </c>
      <c r="E11" s="8" t="str">
        <f>VLOOKUP(service[[#This Row],[ID_etablissement]],etablissement[],2,FALSE)</f>
        <v>5 rue Berger</v>
      </c>
    </row>
    <row r="12" spans="1:5" x14ac:dyDescent="0.3">
      <c r="A12" s="8">
        <v>50</v>
      </c>
      <c r="B12" s="9" t="s">
        <v>954</v>
      </c>
      <c r="C12" s="8">
        <v>6</v>
      </c>
      <c r="D12" s="8">
        <v>2</v>
      </c>
      <c r="E12" s="8" t="str">
        <f>VLOOKUP(service[[#This Row],[ID_etablissement]],etablissement[],2,FALSE)</f>
        <v>3 boulevard Malesherbes</v>
      </c>
    </row>
    <row r="13" spans="1:5" x14ac:dyDescent="0.3">
      <c r="A13" s="8">
        <v>51</v>
      </c>
      <c r="B13" s="9" t="s">
        <v>954</v>
      </c>
      <c r="C13" s="8">
        <v>5</v>
      </c>
      <c r="D13" s="8">
        <v>3</v>
      </c>
      <c r="E13" s="8" t="str">
        <f>VLOOKUP(service[[#This Row],[ID_etablissement]],etablissement[],2,FALSE)</f>
        <v>19 rue des Gobelins</v>
      </c>
    </row>
    <row r="14" spans="1:5" x14ac:dyDescent="0.3">
      <c r="A14" s="8">
        <v>52</v>
      </c>
      <c r="B14" s="9" t="s">
        <v>955</v>
      </c>
      <c r="C14" s="8">
        <v>2</v>
      </c>
      <c r="D14" s="8">
        <v>1</v>
      </c>
      <c r="E14" s="8" t="str">
        <f>VLOOKUP(service[[#This Row],[ID_etablissement]],etablissement[],2,FALSE)</f>
        <v>5 rue Berger</v>
      </c>
    </row>
    <row r="15" spans="1:5" x14ac:dyDescent="0.3">
      <c r="A15" s="8">
        <v>53</v>
      </c>
      <c r="B15" s="9" t="s">
        <v>955</v>
      </c>
      <c r="C15" s="8">
        <v>0</v>
      </c>
      <c r="D15" s="8">
        <v>2</v>
      </c>
      <c r="E15" s="8" t="str">
        <f>VLOOKUP(service[[#This Row],[ID_etablissement]],etablissement[],2,FALSE)</f>
        <v>3 boulevard Malesherbes</v>
      </c>
    </row>
    <row r="16" spans="1:5" x14ac:dyDescent="0.3">
      <c r="A16" s="8">
        <v>54</v>
      </c>
      <c r="B16" s="9" t="s">
        <v>955</v>
      </c>
      <c r="C16" s="8">
        <v>0</v>
      </c>
      <c r="D16" s="8">
        <v>3</v>
      </c>
      <c r="E16" s="8" t="str">
        <f>VLOOKUP(service[[#This Row],[ID_etablissement]],etablissement[],2,FALSE)</f>
        <v>19 rue des Gobelins</v>
      </c>
    </row>
    <row r="17" spans="1:5" x14ac:dyDescent="0.3">
      <c r="A17" s="8">
        <v>55</v>
      </c>
      <c r="B17" s="9" t="s">
        <v>956</v>
      </c>
      <c r="C17" s="8">
        <v>5</v>
      </c>
      <c r="D17" s="8">
        <v>1</v>
      </c>
      <c r="E17" s="8" t="str">
        <f>VLOOKUP(service[[#This Row],[ID_etablissement]],etablissement[],2,FALSE)</f>
        <v>5 rue Berger</v>
      </c>
    </row>
    <row r="18" spans="1:5" x14ac:dyDescent="0.3">
      <c r="A18" s="8">
        <v>56</v>
      </c>
      <c r="B18" s="9" t="s">
        <v>956</v>
      </c>
      <c r="C18" s="8">
        <v>5</v>
      </c>
      <c r="D18" s="8">
        <v>2</v>
      </c>
      <c r="E18" s="8" t="str">
        <f>VLOOKUP(service[[#This Row],[ID_etablissement]],etablissement[],2,FALSE)</f>
        <v>3 boulevard Malesherbes</v>
      </c>
    </row>
    <row r="19" spans="1:5" x14ac:dyDescent="0.3">
      <c r="A19" s="8">
        <v>57</v>
      </c>
      <c r="B19" s="9" t="s">
        <v>956</v>
      </c>
      <c r="C19" s="8">
        <v>4</v>
      </c>
      <c r="D19" s="8">
        <v>3</v>
      </c>
      <c r="E19" s="8" t="str">
        <f>VLOOKUP(service[[#This Row],[ID_etablissement]],etablissement[],2,FALSE)</f>
        <v>19 rue des Gobelins</v>
      </c>
    </row>
    <row r="20" spans="1:5" x14ac:dyDescent="0.3">
      <c r="A20" s="8">
        <v>58</v>
      </c>
      <c r="B20" s="9" t="s">
        <v>957</v>
      </c>
      <c r="C20" s="8">
        <v>2</v>
      </c>
      <c r="D20" s="8">
        <v>1</v>
      </c>
      <c r="E20" s="8" t="str">
        <f>VLOOKUP(service[[#This Row],[ID_etablissement]],etablissement[],2,FALSE)</f>
        <v>5 rue Berger</v>
      </c>
    </row>
    <row r="21" spans="1:5" x14ac:dyDescent="0.3">
      <c r="A21" s="8">
        <v>59</v>
      </c>
      <c r="B21" s="9" t="s">
        <v>957</v>
      </c>
      <c r="C21" s="8">
        <v>4</v>
      </c>
      <c r="D21" s="8">
        <v>2</v>
      </c>
      <c r="E21" s="8" t="str">
        <f>VLOOKUP(service[[#This Row],[ID_etablissement]],etablissement[],2,FALSE)</f>
        <v>3 boulevard Malesherbes</v>
      </c>
    </row>
    <row r="22" spans="1:5" x14ac:dyDescent="0.3">
      <c r="A22" s="8">
        <v>60</v>
      </c>
      <c r="B22" s="9" t="s">
        <v>957</v>
      </c>
      <c r="C22" s="8">
        <v>1</v>
      </c>
      <c r="D22" s="8">
        <v>3</v>
      </c>
      <c r="E22" s="8" t="str">
        <f>VLOOKUP(service[[#This Row],[ID_etablissement]],etablissement[],2,FALSE)</f>
        <v>19 rue des Gobelins</v>
      </c>
    </row>
    <row r="23" spans="1:5" x14ac:dyDescent="0.3">
      <c r="A23" s="8">
        <v>61</v>
      </c>
      <c r="B23" s="9" t="s">
        <v>958</v>
      </c>
      <c r="C23" s="8">
        <v>4</v>
      </c>
      <c r="D23" s="8">
        <v>1</v>
      </c>
      <c r="E23" s="8" t="str">
        <f>VLOOKUP(service[[#This Row],[ID_etablissement]],etablissement[],2,FALSE)</f>
        <v>5 rue Berger</v>
      </c>
    </row>
    <row r="24" spans="1:5" x14ac:dyDescent="0.3">
      <c r="A24" s="8">
        <v>62</v>
      </c>
      <c r="B24" s="9" t="s">
        <v>958</v>
      </c>
      <c r="C24" s="8">
        <v>1</v>
      </c>
      <c r="D24" s="8">
        <v>2</v>
      </c>
      <c r="E24" s="8" t="str">
        <f>VLOOKUP(service[[#This Row],[ID_etablissement]],etablissement[],2,FALSE)</f>
        <v>3 boulevard Malesherbes</v>
      </c>
    </row>
    <row r="25" spans="1:5" x14ac:dyDescent="0.3">
      <c r="A25" s="8">
        <v>63</v>
      </c>
      <c r="B25" s="9" t="s">
        <v>958</v>
      </c>
      <c r="C25" s="8">
        <v>6</v>
      </c>
      <c r="D25" s="8">
        <v>3</v>
      </c>
      <c r="E25" s="8" t="str">
        <f>VLOOKUP(service[[#This Row],[ID_etablissement]],etablissement[],2,FALSE)</f>
        <v>19 rue des Gobelins</v>
      </c>
    </row>
    <row r="26" spans="1:5" x14ac:dyDescent="0.3">
      <c r="A26" s="8">
        <v>64</v>
      </c>
      <c r="B26" s="9" t="s">
        <v>959</v>
      </c>
      <c r="C26" s="8">
        <v>5</v>
      </c>
      <c r="D26" s="8">
        <v>1</v>
      </c>
      <c r="E26" s="8" t="str">
        <f>VLOOKUP(service[[#This Row],[ID_etablissement]],etablissement[],2,FALSE)</f>
        <v>5 rue Berger</v>
      </c>
    </row>
    <row r="27" spans="1:5" x14ac:dyDescent="0.3">
      <c r="A27" s="8">
        <v>65</v>
      </c>
      <c r="B27" s="9" t="s">
        <v>959</v>
      </c>
      <c r="C27" s="8">
        <v>1</v>
      </c>
      <c r="D27" s="8">
        <v>2</v>
      </c>
      <c r="E27" s="8" t="str">
        <f>VLOOKUP(service[[#This Row],[ID_etablissement]],etablissement[],2,FALSE)</f>
        <v>3 boulevard Malesherbes</v>
      </c>
    </row>
    <row r="28" spans="1:5" x14ac:dyDescent="0.3">
      <c r="A28" s="8">
        <v>66</v>
      </c>
      <c r="B28" s="9" t="s">
        <v>959</v>
      </c>
      <c r="C28" s="8">
        <v>6</v>
      </c>
      <c r="D28" s="8">
        <v>3</v>
      </c>
      <c r="E28" s="8" t="str">
        <f>VLOOKUP(service[[#This Row],[ID_etablissement]],etablissement[],2,FALSE)</f>
        <v>19 rue des Gobelins</v>
      </c>
    </row>
    <row r="29" spans="1:5" x14ac:dyDescent="0.3">
      <c r="A29" s="8">
        <v>67</v>
      </c>
      <c r="B29" s="9" t="s">
        <v>960</v>
      </c>
      <c r="C29" s="8">
        <v>4</v>
      </c>
      <c r="D29" s="8">
        <v>1</v>
      </c>
      <c r="E29" s="8" t="str">
        <f>VLOOKUP(service[[#This Row],[ID_etablissement]],etablissement[],2,FALSE)</f>
        <v>5 rue Berger</v>
      </c>
    </row>
    <row r="30" spans="1:5" x14ac:dyDescent="0.3">
      <c r="A30" s="8">
        <v>68</v>
      </c>
      <c r="B30" s="9" t="s">
        <v>960</v>
      </c>
      <c r="C30" s="8">
        <v>5</v>
      </c>
      <c r="D30" s="8">
        <v>2</v>
      </c>
      <c r="E30" s="8" t="str">
        <f>VLOOKUP(service[[#This Row],[ID_etablissement]],etablissement[],2,FALSE)</f>
        <v>3 boulevard Malesherbes</v>
      </c>
    </row>
    <row r="31" spans="1:5" x14ac:dyDescent="0.3">
      <c r="A31" s="8">
        <v>69</v>
      </c>
      <c r="B31" s="9" t="s">
        <v>960</v>
      </c>
      <c r="C31" s="8">
        <v>4</v>
      </c>
      <c r="D31" s="8">
        <v>3</v>
      </c>
      <c r="E31" s="8" t="str">
        <f>VLOOKUP(service[[#This Row],[ID_etablissement]],etablissement[],2,FALSE)</f>
        <v>19 rue des Gobelins</v>
      </c>
    </row>
    <row r="32" spans="1:5" x14ac:dyDescent="0.3">
      <c r="A32" s="8">
        <v>70</v>
      </c>
      <c r="B32" s="9" t="s">
        <v>961</v>
      </c>
      <c r="C32" s="8">
        <v>2</v>
      </c>
      <c r="D32" s="8">
        <v>1</v>
      </c>
      <c r="E32" s="8" t="str">
        <f>VLOOKUP(service[[#This Row],[ID_etablissement]],etablissement[],2,FALSE)</f>
        <v>5 rue Berger</v>
      </c>
    </row>
    <row r="33" spans="1:5" x14ac:dyDescent="0.3">
      <c r="A33" s="8">
        <v>71</v>
      </c>
      <c r="B33" s="9" t="s">
        <v>961</v>
      </c>
      <c r="C33" s="8">
        <v>3</v>
      </c>
      <c r="D33" s="8">
        <v>2</v>
      </c>
      <c r="E33" s="8" t="str">
        <f>VLOOKUP(service[[#This Row],[ID_etablissement]],etablissement[],2,FALSE)</f>
        <v>3 boulevard Malesherbes</v>
      </c>
    </row>
    <row r="34" spans="1:5" x14ac:dyDescent="0.3">
      <c r="A34" s="8">
        <v>72</v>
      </c>
      <c r="B34" s="9" t="s">
        <v>961</v>
      </c>
      <c r="C34" s="8">
        <v>1</v>
      </c>
      <c r="D34" s="8">
        <v>3</v>
      </c>
      <c r="E34" s="8" t="str">
        <f>VLOOKUP(service[[#This Row],[ID_etablissement]],etablissement[],2,FALSE)</f>
        <v>19 rue des Gobelins</v>
      </c>
    </row>
    <row r="35" spans="1:5" x14ac:dyDescent="0.3">
      <c r="A35" s="8">
        <v>73</v>
      </c>
      <c r="B35" s="9" t="s">
        <v>962</v>
      </c>
      <c r="C35" s="8">
        <v>5</v>
      </c>
      <c r="D35" s="8">
        <v>1</v>
      </c>
      <c r="E35" s="8" t="str">
        <f>VLOOKUP(service[[#This Row],[ID_etablissement]],etablissement[],2,FALSE)</f>
        <v>5 rue Berger</v>
      </c>
    </row>
    <row r="36" spans="1:5" x14ac:dyDescent="0.3">
      <c r="A36" s="8">
        <v>74</v>
      </c>
      <c r="B36" s="9" t="s">
        <v>962</v>
      </c>
      <c r="C36" s="8">
        <v>0</v>
      </c>
      <c r="D36" s="8">
        <v>2</v>
      </c>
      <c r="E36" s="8" t="str">
        <f>VLOOKUP(service[[#This Row],[ID_etablissement]],etablissement[],2,FALSE)</f>
        <v>3 boulevard Malesherbes</v>
      </c>
    </row>
    <row r="37" spans="1:5" x14ac:dyDescent="0.3">
      <c r="A37" s="8">
        <v>75</v>
      </c>
      <c r="B37" s="9" t="s">
        <v>962</v>
      </c>
      <c r="C37" s="8">
        <v>4</v>
      </c>
      <c r="D37" s="8">
        <v>3</v>
      </c>
      <c r="E37" s="8" t="str">
        <f>VLOOKUP(service[[#This Row],[ID_etablissement]],etablissement[],2,FALSE)</f>
        <v>19 rue des Gobelins</v>
      </c>
    </row>
    <row r="38" spans="1:5" x14ac:dyDescent="0.3">
      <c r="A38" s="8">
        <v>76</v>
      </c>
      <c r="B38" s="9" t="s">
        <v>963</v>
      </c>
      <c r="C38" s="8">
        <v>6</v>
      </c>
      <c r="D38" s="8">
        <v>1</v>
      </c>
      <c r="E38" s="8" t="str">
        <f>VLOOKUP(service[[#This Row],[ID_etablissement]],etablissement[],2,FALSE)</f>
        <v>5 rue Berger</v>
      </c>
    </row>
    <row r="39" spans="1:5" x14ac:dyDescent="0.3">
      <c r="A39" s="8">
        <v>77</v>
      </c>
      <c r="B39" s="9" t="s">
        <v>963</v>
      </c>
      <c r="C39" s="8">
        <v>3</v>
      </c>
      <c r="D39" s="8">
        <v>2</v>
      </c>
      <c r="E39" s="8" t="str">
        <f>VLOOKUP(service[[#This Row],[ID_etablissement]],etablissement[],2,FALSE)</f>
        <v>3 boulevard Malesherbes</v>
      </c>
    </row>
    <row r="40" spans="1:5" x14ac:dyDescent="0.3">
      <c r="A40" s="8">
        <v>78</v>
      </c>
      <c r="B40" s="9" t="s">
        <v>963</v>
      </c>
      <c r="C40" s="8">
        <v>5</v>
      </c>
      <c r="D40" s="8">
        <v>3</v>
      </c>
      <c r="E40" s="8" t="str">
        <f>VLOOKUP(service[[#This Row],[ID_etablissement]],etablissement[],2,FALSE)</f>
        <v>19 rue des Gobelins</v>
      </c>
    </row>
    <row r="41" spans="1:5" x14ac:dyDescent="0.3">
      <c r="A41" s="8">
        <v>79</v>
      </c>
      <c r="B41" s="9" t="s">
        <v>2735</v>
      </c>
      <c r="C41" s="8">
        <v>2</v>
      </c>
      <c r="D41" s="8">
        <v>1</v>
      </c>
      <c r="E41" s="8" t="str">
        <f>VLOOKUP(service[[#This Row],[ID_etablissement]],etablissement[],2,FALSE)</f>
        <v>5 rue Berger</v>
      </c>
    </row>
    <row r="42" spans="1:5" x14ac:dyDescent="0.3">
      <c r="A42" s="8">
        <v>80</v>
      </c>
      <c r="B42" s="9" t="s">
        <v>2735</v>
      </c>
      <c r="C42" s="8">
        <v>3</v>
      </c>
      <c r="D42" s="8">
        <v>2</v>
      </c>
      <c r="E42" s="8" t="str">
        <f>VLOOKUP(service[[#This Row],[ID_etablissement]],etablissement[],2,FALSE)</f>
        <v>3 boulevard Malesherbes</v>
      </c>
    </row>
    <row r="43" spans="1:5" x14ac:dyDescent="0.3">
      <c r="A43" s="8">
        <v>81</v>
      </c>
      <c r="B43" s="9" t="s">
        <v>2735</v>
      </c>
      <c r="C43" s="8">
        <v>5</v>
      </c>
      <c r="D43" s="8">
        <v>3</v>
      </c>
      <c r="E43" s="8" t="str">
        <f>VLOOKUP(service[[#This Row],[ID_etablissement]],etablissement[],2,FALSE)</f>
        <v>19 rue des Gobelins</v>
      </c>
    </row>
    <row r="44" spans="1:5" x14ac:dyDescent="0.3">
      <c r="A44" s="8">
        <v>82</v>
      </c>
      <c r="B44" s="9" t="s">
        <v>2736</v>
      </c>
      <c r="C44" s="8">
        <v>1</v>
      </c>
      <c r="D44" s="8">
        <v>1</v>
      </c>
      <c r="E44" s="8" t="str">
        <f>VLOOKUP(service[[#This Row],[ID_etablissement]],etablissement[],2,FALSE)</f>
        <v>5 rue Berger</v>
      </c>
    </row>
    <row r="45" spans="1:5" x14ac:dyDescent="0.3">
      <c r="A45" s="8">
        <v>83</v>
      </c>
      <c r="B45" s="9" t="s">
        <v>2736</v>
      </c>
      <c r="C45" s="8">
        <v>0</v>
      </c>
      <c r="D45" s="8">
        <v>2</v>
      </c>
      <c r="E45" s="8" t="str">
        <f>VLOOKUP(service[[#This Row],[ID_etablissement]],etablissement[],2,FALSE)</f>
        <v>3 boulevard Malesherbes</v>
      </c>
    </row>
    <row r="46" spans="1:5" x14ac:dyDescent="0.3">
      <c r="A46" s="8">
        <v>84</v>
      </c>
      <c r="B46" s="9" t="s">
        <v>2736</v>
      </c>
      <c r="C46" s="8">
        <v>4</v>
      </c>
      <c r="D46" s="8">
        <v>3</v>
      </c>
      <c r="E46" s="8" t="str">
        <f>VLOOKUP(service[[#This Row],[ID_etablissement]],etablissement[],2,FALSE)</f>
        <v>19 rue des Gobelins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3"/>
  <dimension ref="A1:D4"/>
  <sheetViews>
    <sheetView workbookViewId="0">
      <pane ySplit="1" topLeftCell="A2" activePane="bottomLeft" state="frozen"/>
      <selection pane="bottomLeft" activeCell="D29" sqref="D29"/>
    </sheetView>
  </sheetViews>
  <sheetFormatPr baseColWidth="10" defaultRowHeight="14.4" x14ac:dyDescent="0.3"/>
  <cols>
    <col min="1" max="1" width="17.6640625" bestFit="1" customWidth="1"/>
    <col min="2" max="2" width="22.5546875" bestFit="1" customWidth="1"/>
    <col min="3" max="3" width="19.5546875" bestFit="1" customWidth="1"/>
    <col min="4" max="4" width="27.5546875" bestFit="1" customWidth="1"/>
  </cols>
  <sheetData>
    <row r="1" spans="1:4" x14ac:dyDescent="0.3">
      <c r="A1" s="8" t="s">
        <v>18</v>
      </c>
      <c r="B1" s="8" t="s">
        <v>2737</v>
      </c>
      <c r="C1" s="8" t="s">
        <v>2738</v>
      </c>
      <c r="D1" s="8" t="s">
        <v>2739</v>
      </c>
    </row>
    <row r="2" spans="1:4" x14ac:dyDescent="0.3">
      <c r="A2" s="8">
        <v>1</v>
      </c>
      <c r="B2" s="9" t="s">
        <v>2740</v>
      </c>
      <c r="C2" s="9" t="s">
        <v>582</v>
      </c>
      <c r="D2" s="8">
        <v>75001</v>
      </c>
    </row>
    <row r="3" spans="1:4" x14ac:dyDescent="0.3">
      <c r="A3" s="8">
        <v>2</v>
      </c>
      <c r="B3" s="9" t="s">
        <v>2741</v>
      </c>
      <c r="C3" s="9" t="s">
        <v>582</v>
      </c>
      <c r="D3" s="8">
        <v>75008</v>
      </c>
    </row>
    <row r="4" spans="1:4" x14ac:dyDescent="0.3">
      <c r="A4" s="8">
        <v>3</v>
      </c>
      <c r="B4" s="9" t="s">
        <v>2742</v>
      </c>
      <c r="C4" s="9" t="s">
        <v>582</v>
      </c>
      <c r="D4" s="8">
        <v>75013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/>
  <dimension ref="A1:H130"/>
  <sheetViews>
    <sheetView tabSelected="1" workbookViewId="0">
      <pane ySplit="1" topLeftCell="A110" activePane="bottomLeft" state="frozen"/>
      <selection pane="bottomLeft" activeCell="E29" sqref="E29"/>
    </sheetView>
  </sheetViews>
  <sheetFormatPr baseColWidth="10" defaultRowHeight="14.4" x14ac:dyDescent="0.3"/>
  <cols>
    <col min="1" max="1" width="15.33203125" bestFit="1" customWidth="1"/>
    <col min="2" max="2" width="18.5546875" bestFit="1" customWidth="1"/>
    <col min="3" max="3" width="20.6640625" bestFit="1" customWidth="1"/>
    <col min="4" max="4" width="16" bestFit="1" customWidth="1"/>
    <col min="5" max="5" width="29.5546875" bestFit="1" customWidth="1"/>
    <col min="6" max="6" width="14" bestFit="1" customWidth="1"/>
    <col min="7" max="7" width="17.6640625" bestFit="1" customWidth="1"/>
    <col min="8" max="8" width="20" bestFit="1" customWidth="1"/>
  </cols>
  <sheetData>
    <row r="1" spans="1:8" x14ac:dyDescent="0.3">
      <c r="A1" s="8" t="s">
        <v>2269</v>
      </c>
      <c r="B1" s="8" t="s">
        <v>2270</v>
      </c>
      <c r="C1" s="8" t="s">
        <v>2271</v>
      </c>
      <c r="D1" s="8" t="s">
        <v>2272</v>
      </c>
      <c r="E1" s="8" t="s">
        <v>2273</v>
      </c>
      <c r="F1" s="8" t="s">
        <v>19</v>
      </c>
      <c r="G1" s="8" t="s">
        <v>2274</v>
      </c>
      <c r="H1" s="8" t="s">
        <v>2425</v>
      </c>
    </row>
    <row r="2" spans="1:8" x14ac:dyDescent="0.3">
      <c r="A2" s="8">
        <v>1</v>
      </c>
      <c r="B2" s="9" t="s">
        <v>2275</v>
      </c>
      <c r="C2" s="9"/>
      <c r="D2" s="10">
        <v>500.5</v>
      </c>
      <c r="E2" s="7">
        <v>2012</v>
      </c>
      <c r="F2" s="8">
        <v>46</v>
      </c>
      <c r="G2" s="8">
        <v>1</v>
      </c>
      <c r="H2" s="9" t="s">
        <v>2426</v>
      </c>
    </row>
    <row r="3" spans="1:8" x14ac:dyDescent="0.3">
      <c r="A3" s="8">
        <v>2</v>
      </c>
      <c r="B3" s="9" t="s">
        <v>2275</v>
      </c>
      <c r="C3" s="9"/>
      <c r="D3" s="10">
        <v>500.5</v>
      </c>
      <c r="E3" s="9" t="s">
        <v>2276</v>
      </c>
      <c r="F3" s="8">
        <v>47</v>
      </c>
      <c r="G3" s="8">
        <v>3</v>
      </c>
      <c r="H3" s="9" t="str">
        <f>VLOOKUP(materiel[[#This Row],[ID_fournisseur]],fournisseur[],2,FALSE)</f>
        <v>Siemens</v>
      </c>
    </row>
    <row r="4" spans="1:8" x14ac:dyDescent="0.3">
      <c r="A4" s="8">
        <v>3</v>
      </c>
      <c r="B4" s="9" t="s">
        <v>2275</v>
      </c>
      <c r="C4" s="9"/>
      <c r="D4" s="10">
        <v>500.5</v>
      </c>
      <c r="E4" s="9" t="s">
        <v>2277</v>
      </c>
      <c r="F4" s="8">
        <v>48</v>
      </c>
      <c r="G4" s="8">
        <v>3</v>
      </c>
      <c r="H4" s="9" t="str">
        <f>VLOOKUP(materiel[[#This Row],[ID_fournisseur]],fournisseur[],2,FALSE)</f>
        <v>Siemens</v>
      </c>
    </row>
    <row r="5" spans="1:8" x14ac:dyDescent="0.3">
      <c r="A5" s="8">
        <v>4</v>
      </c>
      <c r="B5" s="9" t="s">
        <v>2275</v>
      </c>
      <c r="C5" s="9"/>
      <c r="D5" s="10">
        <v>500.5</v>
      </c>
      <c r="E5" s="9" t="s">
        <v>2278</v>
      </c>
      <c r="F5" s="8">
        <v>46</v>
      </c>
      <c r="G5" s="8">
        <v>3</v>
      </c>
      <c r="H5" s="9" t="str">
        <f>VLOOKUP(materiel[[#This Row],[ID_fournisseur]],fournisseur[],2,FALSE)</f>
        <v>Siemens</v>
      </c>
    </row>
    <row r="6" spans="1:8" x14ac:dyDescent="0.3">
      <c r="A6" s="8">
        <v>5</v>
      </c>
      <c r="B6" s="9" t="s">
        <v>2275</v>
      </c>
      <c r="C6" s="9"/>
      <c r="D6" s="10">
        <v>500.5</v>
      </c>
      <c r="E6" s="9" t="s">
        <v>2279</v>
      </c>
      <c r="F6" s="8">
        <v>47</v>
      </c>
      <c r="G6" s="8">
        <v>3</v>
      </c>
      <c r="H6" s="9" t="str">
        <f>VLOOKUP(materiel[[#This Row],[ID_fournisseur]],fournisseur[],2,FALSE)</f>
        <v>Siemens</v>
      </c>
    </row>
    <row r="7" spans="1:8" x14ac:dyDescent="0.3">
      <c r="A7" s="8">
        <v>6</v>
      </c>
      <c r="B7" s="9" t="s">
        <v>2275</v>
      </c>
      <c r="C7" s="9"/>
      <c r="D7" s="10">
        <v>500.5</v>
      </c>
      <c r="E7" s="9" t="s">
        <v>2280</v>
      </c>
      <c r="F7" s="8">
        <v>48</v>
      </c>
      <c r="G7" s="8">
        <v>3</v>
      </c>
      <c r="H7" s="9" t="str">
        <f>VLOOKUP(materiel[[#This Row],[ID_fournisseur]],fournisseur[],2,FALSE)</f>
        <v>Siemens</v>
      </c>
    </row>
    <row r="8" spans="1:8" x14ac:dyDescent="0.3">
      <c r="A8" s="8">
        <v>7</v>
      </c>
      <c r="B8" s="9" t="s">
        <v>2275</v>
      </c>
      <c r="C8" s="9"/>
      <c r="D8" s="10">
        <v>500.5</v>
      </c>
      <c r="E8" s="9" t="s">
        <v>2281</v>
      </c>
      <c r="F8" s="8">
        <v>46</v>
      </c>
      <c r="G8" s="8">
        <v>3</v>
      </c>
      <c r="H8" s="9" t="str">
        <f>VLOOKUP(materiel[[#This Row],[ID_fournisseur]],fournisseur[],2,FALSE)</f>
        <v>Siemens</v>
      </c>
    </row>
    <row r="9" spans="1:8" x14ac:dyDescent="0.3">
      <c r="A9" s="8">
        <v>8</v>
      </c>
      <c r="B9" s="9" t="s">
        <v>2275</v>
      </c>
      <c r="C9" s="9"/>
      <c r="D9" s="10">
        <v>500.5</v>
      </c>
      <c r="E9" s="9" t="s">
        <v>2282</v>
      </c>
      <c r="F9" s="8">
        <v>47</v>
      </c>
      <c r="G9" s="8">
        <v>3</v>
      </c>
      <c r="H9" s="9" t="str">
        <f>VLOOKUP(materiel[[#This Row],[ID_fournisseur]],fournisseur[],2,FALSE)</f>
        <v>Siemens</v>
      </c>
    </row>
    <row r="10" spans="1:8" x14ac:dyDescent="0.3">
      <c r="A10" s="8">
        <v>9</v>
      </c>
      <c r="B10" s="9" t="s">
        <v>2275</v>
      </c>
      <c r="C10" s="9"/>
      <c r="D10" s="10">
        <v>500.5</v>
      </c>
      <c r="E10" s="9" t="s">
        <v>2283</v>
      </c>
      <c r="F10" s="8">
        <v>48</v>
      </c>
      <c r="G10" s="8">
        <v>3</v>
      </c>
      <c r="H10" s="9" t="str">
        <f>VLOOKUP(materiel[[#This Row],[ID_fournisseur]],fournisseur[],2,FALSE)</f>
        <v>Siemens</v>
      </c>
    </row>
    <row r="11" spans="1:8" x14ac:dyDescent="0.3">
      <c r="A11" s="8">
        <v>10</v>
      </c>
      <c r="B11" s="9" t="s">
        <v>2284</v>
      </c>
      <c r="C11" s="9"/>
      <c r="D11" s="10">
        <v>3000.99</v>
      </c>
      <c r="E11" s="9" t="s">
        <v>2285</v>
      </c>
      <c r="F11" s="8">
        <v>46</v>
      </c>
      <c r="G11" s="8">
        <v>3</v>
      </c>
      <c r="H11" s="9" t="str">
        <f>VLOOKUP(materiel[[#This Row],[ID_fournisseur]],fournisseur[],2,FALSE)</f>
        <v>Siemens</v>
      </c>
    </row>
    <row r="12" spans="1:8" x14ac:dyDescent="0.3">
      <c r="A12" s="8">
        <v>11</v>
      </c>
      <c r="B12" s="9" t="s">
        <v>2284</v>
      </c>
      <c r="C12" s="9"/>
      <c r="D12" s="10">
        <v>3000.99</v>
      </c>
      <c r="E12" s="9" t="s">
        <v>2286</v>
      </c>
      <c r="F12" s="8">
        <v>47</v>
      </c>
      <c r="G12" s="8">
        <v>3</v>
      </c>
      <c r="H12" s="9" t="str">
        <f>VLOOKUP(materiel[[#This Row],[ID_fournisseur]],fournisseur[],2,FALSE)</f>
        <v>Siemens</v>
      </c>
    </row>
    <row r="13" spans="1:8" x14ac:dyDescent="0.3">
      <c r="A13" s="8">
        <v>12</v>
      </c>
      <c r="B13" s="9" t="s">
        <v>2284</v>
      </c>
      <c r="C13" s="9"/>
      <c r="D13" s="10">
        <v>3000.99</v>
      </c>
      <c r="E13" s="9" t="s">
        <v>2287</v>
      </c>
      <c r="F13" s="8">
        <v>48</v>
      </c>
      <c r="G13" s="8">
        <v>3</v>
      </c>
      <c r="H13" s="9" t="str">
        <f>VLOOKUP(materiel[[#This Row],[ID_fournisseur]],fournisseur[],2,FALSE)</f>
        <v>Siemens</v>
      </c>
    </row>
    <row r="14" spans="1:8" x14ac:dyDescent="0.3">
      <c r="A14" s="8">
        <v>13</v>
      </c>
      <c r="B14" s="9" t="s">
        <v>2284</v>
      </c>
      <c r="C14" s="9"/>
      <c r="D14" s="10">
        <v>3000.99</v>
      </c>
      <c r="E14" s="9" t="s">
        <v>2288</v>
      </c>
      <c r="F14" s="8">
        <v>46</v>
      </c>
      <c r="G14" s="8">
        <v>3</v>
      </c>
      <c r="H14" s="9" t="str">
        <f>VLOOKUP(materiel[[#This Row],[ID_fournisseur]],fournisseur[],2,FALSE)</f>
        <v>Siemens</v>
      </c>
    </row>
    <row r="15" spans="1:8" x14ac:dyDescent="0.3">
      <c r="A15" s="8">
        <v>14</v>
      </c>
      <c r="B15" s="9" t="s">
        <v>2284</v>
      </c>
      <c r="C15" s="9"/>
      <c r="D15" s="10">
        <v>3000.99</v>
      </c>
      <c r="E15" s="9" t="s">
        <v>2289</v>
      </c>
      <c r="F15" s="8">
        <v>47</v>
      </c>
      <c r="G15" s="8">
        <v>3</v>
      </c>
      <c r="H15" s="9" t="str">
        <f>VLOOKUP(materiel[[#This Row],[ID_fournisseur]],fournisseur[],2,FALSE)</f>
        <v>Siemens</v>
      </c>
    </row>
    <row r="16" spans="1:8" x14ac:dyDescent="0.3">
      <c r="A16" s="8">
        <v>15</v>
      </c>
      <c r="B16" s="9" t="s">
        <v>2284</v>
      </c>
      <c r="C16" s="9"/>
      <c r="D16" s="10">
        <v>3000.99</v>
      </c>
      <c r="E16" s="9" t="s">
        <v>2290</v>
      </c>
      <c r="F16" s="8">
        <v>48</v>
      </c>
      <c r="G16" s="8">
        <v>3</v>
      </c>
      <c r="H16" s="9" t="str">
        <f>VLOOKUP(materiel[[#This Row],[ID_fournisseur]],fournisseur[],2,FALSE)</f>
        <v>Siemens</v>
      </c>
    </row>
    <row r="17" spans="1:8" x14ac:dyDescent="0.3">
      <c r="A17" s="8">
        <v>16</v>
      </c>
      <c r="B17" s="9" t="s">
        <v>2284</v>
      </c>
      <c r="C17" s="9"/>
      <c r="D17" s="10">
        <v>3000.99</v>
      </c>
      <c r="E17" s="9" t="s">
        <v>2291</v>
      </c>
      <c r="F17" s="8">
        <v>46</v>
      </c>
      <c r="G17" s="8">
        <v>3</v>
      </c>
      <c r="H17" s="9" t="str">
        <f>VLOOKUP(materiel[[#This Row],[ID_fournisseur]],fournisseur[],2,FALSE)</f>
        <v>Siemens</v>
      </c>
    </row>
    <row r="18" spans="1:8" x14ac:dyDescent="0.3">
      <c r="A18" s="8">
        <v>17</v>
      </c>
      <c r="B18" s="9" t="s">
        <v>2284</v>
      </c>
      <c r="C18" s="9"/>
      <c r="D18" s="10">
        <v>3000.99</v>
      </c>
      <c r="E18" s="9" t="s">
        <v>2292</v>
      </c>
      <c r="F18" s="8">
        <v>47</v>
      </c>
      <c r="G18" s="8">
        <v>3</v>
      </c>
      <c r="H18" s="9" t="str">
        <f>VLOOKUP(materiel[[#This Row],[ID_fournisseur]],fournisseur[],2,FALSE)</f>
        <v>Siemens</v>
      </c>
    </row>
    <row r="19" spans="1:8" x14ac:dyDescent="0.3">
      <c r="A19" s="8">
        <v>18</v>
      </c>
      <c r="B19" s="9" t="s">
        <v>2284</v>
      </c>
      <c r="C19" s="9"/>
      <c r="D19" s="10">
        <v>3000.99</v>
      </c>
      <c r="E19" s="9" t="s">
        <v>2293</v>
      </c>
      <c r="F19" s="8">
        <v>48</v>
      </c>
      <c r="G19" s="8">
        <v>3</v>
      </c>
      <c r="H19" s="9" t="str">
        <f>VLOOKUP(materiel[[#This Row],[ID_fournisseur]],fournisseur[],2,FALSE)</f>
        <v>Siemens</v>
      </c>
    </row>
    <row r="20" spans="1:8" x14ac:dyDescent="0.3">
      <c r="A20" s="8">
        <v>19</v>
      </c>
      <c r="B20" s="9" t="s">
        <v>2275</v>
      </c>
      <c r="C20" s="9"/>
      <c r="D20" s="10">
        <v>500.5</v>
      </c>
      <c r="E20" s="9" t="s">
        <v>2294</v>
      </c>
      <c r="F20" s="8">
        <v>58</v>
      </c>
      <c r="G20" s="8">
        <v>3</v>
      </c>
      <c r="H20" s="9" t="str">
        <f>VLOOKUP(materiel[[#This Row],[ID_fournisseur]],fournisseur[],2,FALSE)</f>
        <v>Siemens</v>
      </c>
    </row>
    <row r="21" spans="1:8" x14ac:dyDescent="0.3">
      <c r="A21" s="8">
        <v>20</v>
      </c>
      <c r="B21" s="9" t="s">
        <v>2275</v>
      </c>
      <c r="C21" s="9"/>
      <c r="D21" s="10">
        <v>500.5</v>
      </c>
      <c r="E21" s="9" t="s">
        <v>2295</v>
      </c>
      <c r="F21" s="8">
        <v>59</v>
      </c>
      <c r="G21" s="8">
        <v>3</v>
      </c>
      <c r="H21" s="9" t="str">
        <f>VLOOKUP(materiel[[#This Row],[ID_fournisseur]],fournisseur[],2,FALSE)</f>
        <v>Siemens</v>
      </c>
    </row>
    <row r="22" spans="1:8" x14ac:dyDescent="0.3">
      <c r="A22" s="8">
        <v>21</v>
      </c>
      <c r="B22" s="9" t="s">
        <v>2275</v>
      </c>
      <c r="C22" s="9"/>
      <c r="D22" s="10">
        <v>500.5</v>
      </c>
      <c r="E22" s="9" t="s">
        <v>2296</v>
      </c>
      <c r="F22" s="8">
        <v>60</v>
      </c>
      <c r="G22" s="8">
        <v>3</v>
      </c>
      <c r="H22" s="9" t="str">
        <f>VLOOKUP(materiel[[#This Row],[ID_fournisseur]],fournisseur[],2,FALSE)</f>
        <v>Siemens</v>
      </c>
    </row>
    <row r="23" spans="1:8" x14ac:dyDescent="0.3">
      <c r="A23" s="8">
        <v>23</v>
      </c>
      <c r="B23" s="9" t="s">
        <v>2275</v>
      </c>
      <c r="C23" s="9"/>
      <c r="D23" s="10">
        <v>500.5</v>
      </c>
      <c r="E23" s="9" t="s">
        <v>2280</v>
      </c>
      <c r="F23" s="8">
        <v>59</v>
      </c>
      <c r="G23" s="8">
        <v>3</v>
      </c>
      <c r="H23" s="9" t="str">
        <f>VLOOKUP(materiel[[#This Row],[ID_fournisseur]],fournisseur[],2,FALSE)</f>
        <v>Siemens</v>
      </c>
    </row>
    <row r="24" spans="1:8" x14ac:dyDescent="0.3">
      <c r="A24" s="8">
        <v>24</v>
      </c>
      <c r="B24" s="9" t="s">
        <v>2275</v>
      </c>
      <c r="C24" s="9"/>
      <c r="D24" s="10">
        <v>500.5</v>
      </c>
      <c r="E24" s="9" t="s">
        <v>2298</v>
      </c>
      <c r="F24" s="8">
        <v>60</v>
      </c>
      <c r="G24" s="8">
        <v>3</v>
      </c>
      <c r="H24" s="9" t="str">
        <f>VLOOKUP(materiel[[#This Row],[ID_fournisseur]],fournisseur[],2,FALSE)</f>
        <v>Siemens</v>
      </c>
    </row>
    <row r="25" spans="1:8" x14ac:dyDescent="0.3">
      <c r="A25" s="8">
        <v>25</v>
      </c>
      <c r="B25" s="9" t="s">
        <v>2275</v>
      </c>
      <c r="C25" s="9"/>
      <c r="D25" s="10">
        <v>500.5</v>
      </c>
      <c r="E25" s="9" t="s">
        <v>2299</v>
      </c>
      <c r="F25" s="8">
        <v>58</v>
      </c>
      <c r="G25" s="8">
        <v>3</v>
      </c>
      <c r="H25" s="9" t="str">
        <f>VLOOKUP(materiel[[#This Row],[ID_fournisseur]],fournisseur[],2,FALSE)</f>
        <v>Siemens</v>
      </c>
    </row>
    <row r="26" spans="1:8" x14ac:dyDescent="0.3">
      <c r="A26" s="8">
        <v>26</v>
      </c>
      <c r="B26" s="9" t="s">
        <v>2275</v>
      </c>
      <c r="C26" s="9"/>
      <c r="D26" s="10">
        <v>500.5</v>
      </c>
      <c r="E26" s="9" t="s">
        <v>2300</v>
      </c>
      <c r="F26" s="8">
        <v>59</v>
      </c>
      <c r="G26" s="8">
        <v>3</v>
      </c>
      <c r="H26" s="9" t="str">
        <f>VLOOKUP(materiel[[#This Row],[ID_fournisseur]],fournisseur[],2,FALSE)</f>
        <v>Siemens</v>
      </c>
    </row>
    <row r="27" spans="1:8" x14ac:dyDescent="0.3">
      <c r="A27" s="8">
        <v>27</v>
      </c>
      <c r="B27" s="9" t="s">
        <v>2275</v>
      </c>
      <c r="C27" s="9"/>
      <c r="D27" s="10">
        <v>500.5</v>
      </c>
      <c r="E27" s="9" t="s">
        <v>2301</v>
      </c>
      <c r="F27" s="8">
        <v>60</v>
      </c>
      <c r="G27" s="8">
        <v>3</v>
      </c>
      <c r="H27" s="9" t="str">
        <f>VLOOKUP(materiel[[#This Row],[ID_fournisseur]],fournisseur[],2,FALSE)</f>
        <v>Siemens</v>
      </c>
    </row>
    <row r="28" spans="1:8" x14ac:dyDescent="0.3">
      <c r="A28" s="8">
        <v>28</v>
      </c>
      <c r="B28" s="9" t="s">
        <v>2284</v>
      </c>
      <c r="C28" s="9"/>
      <c r="D28" s="10">
        <v>3000.99</v>
      </c>
      <c r="E28" s="9" t="s">
        <v>2302</v>
      </c>
      <c r="F28" s="8">
        <v>58</v>
      </c>
      <c r="G28" s="8">
        <v>3</v>
      </c>
      <c r="H28" s="9" t="str">
        <f>VLOOKUP(materiel[[#This Row],[ID_fournisseur]],fournisseur[],2,FALSE)</f>
        <v>Siemens</v>
      </c>
    </row>
    <row r="29" spans="1:8" x14ac:dyDescent="0.3">
      <c r="A29" s="8">
        <v>29</v>
      </c>
      <c r="B29" s="9" t="s">
        <v>2284</v>
      </c>
      <c r="C29" s="9"/>
      <c r="D29" s="10">
        <v>3000.99</v>
      </c>
      <c r="E29" s="9" t="s">
        <v>2303</v>
      </c>
      <c r="F29" s="8">
        <v>59</v>
      </c>
      <c r="G29" s="8">
        <v>3</v>
      </c>
      <c r="H29" s="9" t="str">
        <f>VLOOKUP(materiel[[#This Row],[ID_fournisseur]],fournisseur[],2,FALSE)</f>
        <v>Siemens</v>
      </c>
    </row>
    <row r="30" spans="1:8" x14ac:dyDescent="0.3">
      <c r="A30" s="8">
        <v>30</v>
      </c>
      <c r="B30" s="9" t="s">
        <v>2284</v>
      </c>
      <c r="C30" s="9"/>
      <c r="D30" s="10">
        <v>3000.99</v>
      </c>
      <c r="E30" s="9" t="s">
        <v>2304</v>
      </c>
      <c r="F30" s="8">
        <v>60</v>
      </c>
      <c r="G30" s="8">
        <v>3</v>
      </c>
      <c r="H30" s="9" t="str">
        <f>VLOOKUP(materiel[[#This Row],[ID_fournisseur]],fournisseur[],2,FALSE)</f>
        <v>Siemens</v>
      </c>
    </row>
    <row r="31" spans="1:8" x14ac:dyDescent="0.3">
      <c r="A31" s="8">
        <v>31</v>
      </c>
      <c r="B31" s="9" t="s">
        <v>2284</v>
      </c>
      <c r="C31" s="9"/>
      <c r="D31" s="10">
        <v>3000.99</v>
      </c>
      <c r="E31" s="9" t="s">
        <v>2305</v>
      </c>
      <c r="F31" s="8">
        <v>58</v>
      </c>
      <c r="G31" s="8">
        <v>3</v>
      </c>
      <c r="H31" s="9" t="str">
        <f>VLOOKUP(materiel[[#This Row],[ID_fournisseur]],fournisseur[],2,FALSE)</f>
        <v>Siemens</v>
      </c>
    </row>
    <row r="32" spans="1:8" x14ac:dyDescent="0.3">
      <c r="A32" s="8">
        <v>32</v>
      </c>
      <c r="B32" s="9" t="s">
        <v>2284</v>
      </c>
      <c r="C32" s="9"/>
      <c r="D32" s="10">
        <v>3000.99</v>
      </c>
      <c r="E32" s="9" t="s">
        <v>2306</v>
      </c>
      <c r="F32" s="8">
        <v>59</v>
      </c>
      <c r="G32" s="8">
        <v>3</v>
      </c>
      <c r="H32" s="9" t="str">
        <f>VLOOKUP(materiel[[#This Row],[ID_fournisseur]],fournisseur[],2,FALSE)</f>
        <v>Siemens</v>
      </c>
    </row>
    <row r="33" spans="1:8" x14ac:dyDescent="0.3">
      <c r="A33" s="8">
        <v>33</v>
      </c>
      <c r="B33" s="9" t="s">
        <v>2284</v>
      </c>
      <c r="C33" s="9"/>
      <c r="D33" s="10">
        <v>3000.99</v>
      </c>
      <c r="E33" s="9" t="s">
        <v>2307</v>
      </c>
      <c r="F33" s="8">
        <v>60</v>
      </c>
      <c r="G33" s="8">
        <v>3</v>
      </c>
      <c r="H33" s="9" t="str">
        <f>VLOOKUP(materiel[[#This Row],[ID_fournisseur]],fournisseur[],2,FALSE)</f>
        <v>Siemens</v>
      </c>
    </row>
    <row r="34" spans="1:8" x14ac:dyDescent="0.3">
      <c r="A34" s="8">
        <v>34</v>
      </c>
      <c r="B34" s="9" t="s">
        <v>2284</v>
      </c>
      <c r="C34" s="9"/>
      <c r="D34" s="10">
        <v>3000.99</v>
      </c>
      <c r="E34" s="9" t="s">
        <v>2308</v>
      </c>
      <c r="F34" s="8">
        <v>58</v>
      </c>
      <c r="G34" s="8">
        <v>3</v>
      </c>
      <c r="H34" s="9" t="str">
        <f>VLOOKUP(materiel[[#This Row],[ID_fournisseur]],fournisseur[],2,FALSE)</f>
        <v>Siemens</v>
      </c>
    </row>
    <row r="35" spans="1:8" x14ac:dyDescent="0.3">
      <c r="A35" s="8">
        <v>35</v>
      </c>
      <c r="B35" s="9" t="s">
        <v>2284</v>
      </c>
      <c r="C35" s="9"/>
      <c r="D35" s="10">
        <v>3000.99</v>
      </c>
      <c r="E35" s="9" t="s">
        <v>2309</v>
      </c>
      <c r="F35" s="8">
        <v>59</v>
      </c>
      <c r="G35" s="8">
        <v>3</v>
      </c>
      <c r="H35" s="9" t="str">
        <f>VLOOKUP(materiel[[#This Row],[ID_fournisseur]],fournisseur[],2,FALSE)</f>
        <v>Siemens</v>
      </c>
    </row>
    <row r="36" spans="1:8" x14ac:dyDescent="0.3">
      <c r="A36" s="8">
        <v>36</v>
      </c>
      <c r="B36" s="9" t="s">
        <v>2284</v>
      </c>
      <c r="C36" s="9"/>
      <c r="D36" s="10">
        <v>3000.99</v>
      </c>
      <c r="E36" s="9" t="s">
        <v>2310</v>
      </c>
      <c r="F36" s="8">
        <v>60</v>
      </c>
      <c r="G36" s="8">
        <v>3</v>
      </c>
      <c r="H36" s="9" t="str">
        <f>VLOOKUP(materiel[[#This Row],[ID_fournisseur]],fournisseur[],2,FALSE)</f>
        <v>Siemens</v>
      </c>
    </row>
    <row r="37" spans="1:8" x14ac:dyDescent="0.3">
      <c r="A37" s="8">
        <v>37</v>
      </c>
      <c r="B37" s="9" t="s">
        <v>2311</v>
      </c>
      <c r="C37" s="9"/>
      <c r="D37" s="10">
        <v>8000.75</v>
      </c>
      <c r="E37" s="9" t="s">
        <v>2312</v>
      </c>
      <c r="F37" s="8">
        <v>51</v>
      </c>
      <c r="G37" s="8">
        <v>19</v>
      </c>
      <c r="H37" s="9" t="str">
        <f>VLOOKUP(materiel[[#This Row],[ID_fournisseur]],fournisseur[],2,FALSE)</f>
        <v>Smith &amp; Nephew</v>
      </c>
    </row>
    <row r="38" spans="1:8" x14ac:dyDescent="0.3">
      <c r="A38" s="8">
        <v>38</v>
      </c>
      <c r="B38" s="9" t="s">
        <v>2311</v>
      </c>
      <c r="C38" s="9"/>
      <c r="D38" s="10">
        <v>8000.75</v>
      </c>
      <c r="E38" s="9" t="s">
        <v>2313</v>
      </c>
      <c r="F38" s="8">
        <v>52</v>
      </c>
      <c r="G38" s="8">
        <v>19</v>
      </c>
      <c r="H38" s="9" t="str">
        <f>VLOOKUP(materiel[[#This Row],[ID_fournisseur]],fournisseur[],2,FALSE)</f>
        <v>Smith &amp; Nephew</v>
      </c>
    </row>
    <row r="39" spans="1:8" x14ac:dyDescent="0.3">
      <c r="A39" s="8">
        <v>39</v>
      </c>
      <c r="B39" s="9" t="s">
        <v>2311</v>
      </c>
      <c r="C39" s="9"/>
      <c r="D39" s="10">
        <v>8000.75</v>
      </c>
      <c r="E39" s="9" t="s">
        <v>2314</v>
      </c>
      <c r="F39" s="8">
        <v>53</v>
      </c>
      <c r="G39" s="8">
        <v>19</v>
      </c>
      <c r="H39" s="9" t="str">
        <f>VLOOKUP(materiel[[#This Row],[ID_fournisseur]],fournisseur[],2,FALSE)</f>
        <v>Smith &amp; Nephew</v>
      </c>
    </row>
    <row r="40" spans="1:8" x14ac:dyDescent="0.3">
      <c r="A40" s="8">
        <v>40</v>
      </c>
      <c r="B40" s="9" t="s">
        <v>2311</v>
      </c>
      <c r="C40" s="9"/>
      <c r="D40" s="10">
        <v>8000.75</v>
      </c>
      <c r="E40" s="9" t="s">
        <v>2315</v>
      </c>
      <c r="F40" s="8">
        <v>51</v>
      </c>
      <c r="G40" s="8">
        <v>19</v>
      </c>
      <c r="H40" s="9" t="str">
        <f>VLOOKUP(materiel[[#This Row],[ID_fournisseur]],fournisseur[],2,FALSE)</f>
        <v>Smith &amp; Nephew</v>
      </c>
    </row>
    <row r="41" spans="1:8" x14ac:dyDescent="0.3">
      <c r="A41" s="8">
        <v>41</v>
      </c>
      <c r="B41" s="9" t="s">
        <v>2311</v>
      </c>
      <c r="C41" s="9"/>
      <c r="D41" s="10">
        <v>8000.75</v>
      </c>
      <c r="E41" s="9" t="s">
        <v>2316</v>
      </c>
      <c r="F41" s="8">
        <v>52</v>
      </c>
      <c r="G41" s="8">
        <v>19</v>
      </c>
      <c r="H41" s="9" t="str">
        <f>VLOOKUP(materiel[[#This Row],[ID_fournisseur]],fournisseur[],2,FALSE)</f>
        <v>Smith &amp; Nephew</v>
      </c>
    </row>
    <row r="42" spans="1:8" x14ac:dyDescent="0.3">
      <c r="A42" s="8">
        <v>42</v>
      </c>
      <c r="B42" s="9" t="s">
        <v>2311</v>
      </c>
      <c r="C42" s="9"/>
      <c r="D42" s="10">
        <v>8000.75</v>
      </c>
      <c r="E42" s="9" t="s">
        <v>2317</v>
      </c>
      <c r="F42" s="8">
        <v>53</v>
      </c>
      <c r="G42" s="8">
        <v>19</v>
      </c>
      <c r="H42" s="9" t="str">
        <f>VLOOKUP(materiel[[#This Row],[ID_fournisseur]],fournisseur[],2,FALSE)</f>
        <v>Smith &amp; Nephew</v>
      </c>
    </row>
    <row r="43" spans="1:8" x14ac:dyDescent="0.3">
      <c r="A43" s="8">
        <v>43</v>
      </c>
      <c r="B43" s="9" t="s">
        <v>2311</v>
      </c>
      <c r="C43" s="9"/>
      <c r="D43" s="10">
        <v>8000.75</v>
      </c>
      <c r="E43" s="9" t="s">
        <v>2318</v>
      </c>
      <c r="F43" s="8">
        <v>51</v>
      </c>
      <c r="G43" s="8">
        <v>19</v>
      </c>
      <c r="H43" s="9" t="str">
        <f>VLOOKUP(materiel[[#This Row],[ID_fournisseur]],fournisseur[],2,FALSE)</f>
        <v>Smith &amp; Nephew</v>
      </c>
    </row>
    <row r="44" spans="1:8" x14ac:dyDescent="0.3">
      <c r="A44" s="8">
        <v>44</v>
      </c>
      <c r="B44" s="9" t="s">
        <v>2311</v>
      </c>
      <c r="C44" s="9"/>
      <c r="D44" s="10">
        <v>8000.75</v>
      </c>
      <c r="E44" s="9" t="s">
        <v>2319</v>
      </c>
      <c r="F44" s="8">
        <v>52</v>
      </c>
      <c r="G44" s="8">
        <v>19</v>
      </c>
      <c r="H44" s="9" t="str">
        <f>VLOOKUP(materiel[[#This Row],[ID_fournisseur]],fournisseur[],2,FALSE)</f>
        <v>Smith &amp; Nephew</v>
      </c>
    </row>
    <row r="45" spans="1:8" x14ac:dyDescent="0.3">
      <c r="A45" s="8">
        <v>45</v>
      </c>
      <c r="B45" s="9" t="s">
        <v>2311</v>
      </c>
      <c r="C45" s="9"/>
      <c r="D45" s="10">
        <v>8000.75</v>
      </c>
      <c r="E45" s="9" t="s">
        <v>2320</v>
      </c>
      <c r="F45" s="8">
        <v>53</v>
      </c>
      <c r="G45" s="8">
        <v>19</v>
      </c>
      <c r="H45" s="9" t="str">
        <f>VLOOKUP(materiel[[#This Row],[ID_fournisseur]],fournisseur[],2,FALSE)</f>
        <v>Smith &amp; Nephew</v>
      </c>
    </row>
    <row r="46" spans="1:8" x14ac:dyDescent="0.3">
      <c r="A46" s="8">
        <v>46</v>
      </c>
      <c r="B46" s="9" t="s">
        <v>2321</v>
      </c>
      <c r="C46" s="9"/>
      <c r="D46" s="10">
        <v>12.8</v>
      </c>
      <c r="E46" s="9" t="s">
        <v>2780</v>
      </c>
      <c r="F46" s="8">
        <v>43</v>
      </c>
      <c r="G46" s="8">
        <v>20</v>
      </c>
      <c r="H46" s="9" t="str">
        <f>VLOOKUP(materiel[[#This Row],[ID_fournisseur]],fournisseur[],2,FALSE)</f>
        <v>Hartman</v>
      </c>
    </row>
    <row r="47" spans="1:8" x14ac:dyDescent="0.3">
      <c r="A47" s="8">
        <v>47</v>
      </c>
      <c r="B47" s="9" t="s">
        <v>2321</v>
      </c>
      <c r="C47" s="9" t="s">
        <v>2322</v>
      </c>
      <c r="D47" s="10">
        <v>12.8</v>
      </c>
      <c r="E47" s="9"/>
      <c r="F47" s="8">
        <v>44</v>
      </c>
      <c r="G47" s="8">
        <v>20</v>
      </c>
      <c r="H47" s="9" t="str">
        <f>VLOOKUP(materiel[[#This Row],[ID_fournisseur]],fournisseur[],2,FALSE)</f>
        <v>Hartman</v>
      </c>
    </row>
    <row r="48" spans="1:8" x14ac:dyDescent="0.3">
      <c r="A48" s="8">
        <v>48</v>
      </c>
      <c r="B48" s="9" t="s">
        <v>2321</v>
      </c>
      <c r="C48" s="9" t="s">
        <v>2323</v>
      </c>
      <c r="D48" s="10">
        <v>12.8</v>
      </c>
      <c r="E48" s="9"/>
      <c r="F48" s="8">
        <v>45</v>
      </c>
      <c r="G48" s="8">
        <v>20</v>
      </c>
      <c r="H48" s="9" t="str">
        <f>VLOOKUP(materiel[[#This Row],[ID_fournisseur]],fournisseur[],2,FALSE)</f>
        <v>Hartman</v>
      </c>
    </row>
    <row r="49" spans="1:8" x14ac:dyDescent="0.3">
      <c r="A49" s="8">
        <v>49</v>
      </c>
      <c r="B49" s="9" t="s">
        <v>2321</v>
      </c>
      <c r="C49" s="9" t="s">
        <v>2324</v>
      </c>
      <c r="D49" s="10">
        <v>12.8</v>
      </c>
      <c r="E49" s="9"/>
      <c r="F49" s="8">
        <v>46</v>
      </c>
      <c r="G49" s="8">
        <v>20</v>
      </c>
      <c r="H49" s="9" t="str">
        <f>VLOOKUP(materiel[[#This Row],[ID_fournisseur]],fournisseur[],2,FALSE)</f>
        <v>Hartman</v>
      </c>
    </row>
    <row r="50" spans="1:8" x14ac:dyDescent="0.3">
      <c r="A50" s="8">
        <v>50</v>
      </c>
      <c r="B50" s="9" t="s">
        <v>2321</v>
      </c>
      <c r="C50" s="9" t="s">
        <v>2325</v>
      </c>
      <c r="D50" s="10">
        <v>12.8</v>
      </c>
      <c r="E50" s="9"/>
      <c r="F50" s="8">
        <v>47</v>
      </c>
      <c r="G50" s="8">
        <v>20</v>
      </c>
      <c r="H50" s="9" t="str">
        <f>VLOOKUP(materiel[[#This Row],[ID_fournisseur]],fournisseur[],2,FALSE)</f>
        <v>Hartman</v>
      </c>
    </row>
    <row r="51" spans="1:8" x14ac:dyDescent="0.3">
      <c r="A51" s="8">
        <v>51</v>
      </c>
      <c r="B51" s="9" t="s">
        <v>2321</v>
      </c>
      <c r="C51" s="9" t="s">
        <v>2326</v>
      </c>
      <c r="D51" s="10">
        <v>12.8</v>
      </c>
      <c r="E51" s="9"/>
      <c r="F51" s="8">
        <v>48</v>
      </c>
      <c r="G51" s="8">
        <v>20</v>
      </c>
      <c r="H51" s="9" t="str">
        <f>VLOOKUP(materiel[[#This Row],[ID_fournisseur]],fournisseur[],2,FALSE)</f>
        <v>Hartman</v>
      </c>
    </row>
    <row r="52" spans="1:8" x14ac:dyDescent="0.3">
      <c r="A52" s="8">
        <v>52</v>
      </c>
      <c r="B52" s="9" t="s">
        <v>2321</v>
      </c>
      <c r="C52" s="9" t="s">
        <v>2327</v>
      </c>
      <c r="D52" s="10">
        <v>12.8</v>
      </c>
      <c r="E52" s="9"/>
      <c r="F52" s="8">
        <v>64</v>
      </c>
      <c r="G52" s="8">
        <v>20</v>
      </c>
      <c r="H52" s="9" t="str">
        <f>VLOOKUP(materiel[[#This Row],[ID_fournisseur]],fournisseur[],2,FALSE)</f>
        <v>Hartman</v>
      </c>
    </row>
    <row r="53" spans="1:8" x14ac:dyDescent="0.3">
      <c r="A53" s="8">
        <v>53</v>
      </c>
      <c r="B53" s="9" t="s">
        <v>2321</v>
      </c>
      <c r="C53" s="9" t="s">
        <v>2328</v>
      </c>
      <c r="D53" s="10">
        <v>12.8</v>
      </c>
      <c r="E53" s="9"/>
      <c r="F53" s="8">
        <v>65</v>
      </c>
      <c r="G53" s="8">
        <v>20</v>
      </c>
      <c r="H53" s="9" t="str">
        <f>VLOOKUP(materiel[[#This Row],[ID_fournisseur]],fournisseur[],2,FALSE)</f>
        <v>Hartman</v>
      </c>
    </row>
    <row r="54" spans="1:8" x14ac:dyDescent="0.3">
      <c r="A54" s="8">
        <v>54</v>
      </c>
      <c r="B54" s="9" t="s">
        <v>2321</v>
      </c>
      <c r="C54" s="9" t="s">
        <v>2329</v>
      </c>
      <c r="D54" s="10">
        <v>12.8</v>
      </c>
      <c r="E54" s="9"/>
      <c r="F54" s="8">
        <v>66</v>
      </c>
      <c r="G54" s="8">
        <v>20</v>
      </c>
      <c r="H54" s="9" t="str">
        <f>VLOOKUP(materiel[[#This Row],[ID_fournisseur]],fournisseur[],2,FALSE)</f>
        <v>Hartman</v>
      </c>
    </row>
    <row r="55" spans="1:8" x14ac:dyDescent="0.3">
      <c r="A55" s="8">
        <v>55</v>
      </c>
      <c r="B55" s="9" t="s">
        <v>2321</v>
      </c>
      <c r="C55" s="9" t="s">
        <v>2330</v>
      </c>
      <c r="D55" s="10">
        <v>12.8</v>
      </c>
      <c r="E55" s="9"/>
      <c r="F55" s="8">
        <v>67</v>
      </c>
      <c r="G55" s="8">
        <v>20</v>
      </c>
      <c r="H55" s="9" t="str">
        <f>VLOOKUP(materiel[[#This Row],[ID_fournisseur]],fournisseur[],2,FALSE)</f>
        <v>Hartman</v>
      </c>
    </row>
    <row r="56" spans="1:8" x14ac:dyDescent="0.3">
      <c r="A56" s="8">
        <v>56</v>
      </c>
      <c r="B56" s="9" t="s">
        <v>2321</v>
      </c>
      <c r="C56" s="9" t="s">
        <v>2331</v>
      </c>
      <c r="D56" s="10">
        <v>12.8</v>
      </c>
      <c r="E56" s="9"/>
      <c r="F56" s="8">
        <v>68</v>
      </c>
      <c r="G56" s="8">
        <v>20</v>
      </c>
      <c r="H56" s="9" t="str">
        <f>VLOOKUP(materiel[[#This Row],[ID_fournisseur]],fournisseur[],2,FALSE)</f>
        <v>Hartman</v>
      </c>
    </row>
    <row r="57" spans="1:8" x14ac:dyDescent="0.3">
      <c r="A57" s="8">
        <v>57</v>
      </c>
      <c r="B57" s="9" t="s">
        <v>2321</v>
      </c>
      <c r="C57" s="9" t="s">
        <v>2332</v>
      </c>
      <c r="D57" s="10">
        <v>12.8</v>
      </c>
      <c r="E57" s="9"/>
      <c r="F57" s="8">
        <v>69</v>
      </c>
      <c r="G57" s="8">
        <v>20</v>
      </c>
      <c r="H57" s="9" t="str">
        <f>VLOOKUP(materiel[[#This Row],[ID_fournisseur]],fournisseur[],2,FALSE)</f>
        <v>Hartman</v>
      </c>
    </row>
    <row r="58" spans="1:8" x14ac:dyDescent="0.3">
      <c r="A58" s="8">
        <v>58</v>
      </c>
      <c r="B58" s="9" t="s">
        <v>2321</v>
      </c>
      <c r="C58" s="9" t="s">
        <v>2333</v>
      </c>
      <c r="D58" s="10">
        <v>12.8</v>
      </c>
      <c r="E58" s="9"/>
      <c r="F58" s="8">
        <v>76</v>
      </c>
      <c r="G58" s="8">
        <v>20</v>
      </c>
      <c r="H58" s="9" t="str">
        <f>VLOOKUP(materiel[[#This Row],[ID_fournisseur]],fournisseur[],2,FALSE)</f>
        <v>Hartman</v>
      </c>
    </row>
    <row r="59" spans="1:8" x14ac:dyDescent="0.3">
      <c r="A59" s="8">
        <v>59</v>
      </c>
      <c r="B59" s="9" t="s">
        <v>2321</v>
      </c>
      <c r="C59" s="9" t="s">
        <v>2334</v>
      </c>
      <c r="D59" s="10">
        <v>12.8</v>
      </c>
      <c r="E59" s="9"/>
      <c r="F59" s="8">
        <v>77</v>
      </c>
      <c r="G59" s="8">
        <v>20</v>
      </c>
      <c r="H59" s="9" t="str">
        <f>VLOOKUP(materiel[[#This Row],[ID_fournisseur]],fournisseur[],2,FALSE)</f>
        <v>Hartman</v>
      </c>
    </row>
    <row r="60" spans="1:8" x14ac:dyDescent="0.3">
      <c r="A60" s="8">
        <v>60</v>
      </c>
      <c r="B60" s="9" t="s">
        <v>2321</v>
      </c>
      <c r="C60" s="9" t="s">
        <v>2335</v>
      </c>
      <c r="D60" s="10">
        <v>12.8</v>
      </c>
      <c r="E60" s="9"/>
      <c r="F60" s="8">
        <v>78</v>
      </c>
      <c r="G60" s="8">
        <v>20</v>
      </c>
      <c r="H60" s="9" t="str">
        <f>VLOOKUP(materiel[[#This Row],[ID_fournisseur]],fournisseur[],2,FALSE)</f>
        <v>Hartman</v>
      </c>
    </row>
    <row r="61" spans="1:8" x14ac:dyDescent="0.3">
      <c r="A61" s="8">
        <v>61</v>
      </c>
      <c r="B61" s="9" t="s">
        <v>2321</v>
      </c>
      <c r="C61" s="9" t="s">
        <v>2336</v>
      </c>
      <c r="D61" s="10">
        <v>12.8</v>
      </c>
      <c r="E61" s="9"/>
      <c r="F61" s="8">
        <v>82</v>
      </c>
      <c r="G61" s="8">
        <v>20</v>
      </c>
      <c r="H61" s="9" t="str">
        <f>VLOOKUP(materiel[[#This Row],[ID_fournisseur]],fournisseur[],2,FALSE)</f>
        <v>Hartman</v>
      </c>
    </row>
    <row r="62" spans="1:8" x14ac:dyDescent="0.3">
      <c r="A62" s="8">
        <v>62</v>
      </c>
      <c r="B62" s="9" t="s">
        <v>2321</v>
      </c>
      <c r="C62" s="9" t="s">
        <v>2337</v>
      </c>
      <c r="D62" s="10">
        <v>12.8</v>
      </c>
      <c r="E62" s="9"/>
      <c r="F62" s="8">
        <v>83</v>
      </c>
      <c r="G62" s="8">
        <v>20</v>
      </c>
      <c r="H62" s="9" t="str">
        <f>VLOOKUP(materiel[[#This Row],[ID_fournisseur]],fournisseur[],2,FALSE)</f>
        <v>Hartman</v>
      </c>
    </row>
    <row r="63" spans="1:8" x14ac:dyDescent="0.3">
      <c r="A63" s="8">
        <v>63</v>
      </c>
      <c r="B63" s="9" t="s">
        <v>2321</v>
      </c>
      <c r="C63" s="9" t="s">
        <v>2338</v>
      </c>
      <c r="D63" s="10">
        <v>12.8</v>
      </c>
      <c r="E63" s="9"/>
      <c r="F63" s="8">
        <v>84</v>
      </c>
      <c r="G63" s="8">
        <v>20</v>
      </c>
      <c r="H63" s="9" t="str">
        <f>VLOOKUP(materiel[[#This Row],[ID_fournisseur]],fournisseur[],2,FALSE)</f>
        <v>Hartman</v>
      </c>
    </row>
    <row r="64" spans="1:8" x14ac:dyDescent="0.3">
      <c r="A64" s="8">
        <v>64</v>
      </c>
      <c r="B64" s="9" t="s">
        <v>2339</v>
      </c>
      <c r="C64" s="9" t="s">
        <v>2340</v>
      </c>
      <c r="D64" s="10">
        <v>5.8</v>
      </c>
      <c r="E64" s="9"/>
      <c r="F64" s="8">
        <v>43</v>
      </c>
      <c r="G64" s="8">
        <v>18</v>
      </c>
      <c r="H64" s="9" t="str">
        <f>VLOOKUP(materiel[[#This Row],[ID_fournisseur]],fournisseur[],2,FALSE)</f>
        <v>Sécurimed</v>
      </c>
    </row>
    <row r="65" spans="1:8" x14ac:dyDescent="0.3">
      <c r="A65" s="8">
        <v>65</v>
      </c>
      <c r="B65" s="9" t="s">
        <v>2339</v>
      </c>
      <c r="C65" s="9" t="s">
        <v>2341</v>
      </c>
      <c r="D65" s="10">
        <v>5.8</v>
      </c>
      <c r="E65" s="9"/>
      <c r="F65" s="8">
        <v>44</v>
      </c>
      <c r="G65" s="8">
        <v>18</v>
      </c>
      <c r="H65" s="9" t="str">
        <f>VLOOKUP(materiel[[#This Row],[ID_fournisseur]],fournisseur[],2,FALSE)</f>
        <v>Sécurimed</v>
      </c>
    </row>
    <row r="66" spans="1:8" x14ac:dyDescent="0.3">
      <c r="A66" s="8">
        <v>66</v>
      </c>
      <c r="B66" s="9" t="s">
        <v>2339</v>
      </c>
      <c r="C66" s="9" t="s">
        <v>2342</v>
      </c>
      <c r="D66" s="10">
        <v>5.8</v>
      </c>
      <c r="E66" s="9"/>
      <c r="F66" s="8">
        <v>45</v>
      </c>
      <c r="G66" s="8">
        <v>18</v>
      </c>
      <c r="H66" s="9" t="str">
        <f>VLOOKUP(materiel[[#This Row],[ID_fournisseur]],fournisseur[],2,FALSE)</f>
        <v>Sécurimed</v>
      </c>
    </row>
    <row r="67" spans="1:8" x14ac:dyDescent="0.3">
      <c r="A67" s="8">
        <v>67</v>
      </c>
      <c r="B67" s="9" t="s">
        <v>2339</v>
      </c>
      <c r="C67" s="9" t="s">
        <v>2343</v>
      </c>
      <c r="D67" s="10">
        <v>5.8</v>
      </c>
      <c r="E67" s="9"/>
      <c r="F67" s="8">
        <v>46</v>
      </c>
      <c r="G67" s="8">
        <v>18</v>
      </c>
      <c r="H67" s="9" t="str">
        <f>VLOOKUP(materiel[[#This Row],[ID_fournisseur]],fournisseur[],2,FALSE)</f>
        <v>Sécurimed</v>
      </c>
    </row>
    <row r="68" spans="1:8" x14ac:dyDescent="0.3">
      <c r="A68" s="8">
        <v>68</v>
      </c>
      <c r="B68" s="9" t="s">
        <v>2339</v>
      </c>
      <c r="C68" s="9" t="s">
        <v>2344</v>
      </c>
      <c r="D68" s="10">
        <v>5.8</v>
      </c>
      <c r="E68" s="9"/>
      <c r="F68" s="8">
        <v>47</v>
      </c>
      <c r="G68" s="8">
        <v>18</v>
      </c>
      <c r="H68" s="9" t="str">
        <f>VLOOKUP(materiel[[#This Row],[ID_fournisseur]],fournisseur[],2,FALSE)</f>
        <v>Sécurimed</v>
      </c>
    </row>
    <row r="69" spans="1:8" x14ac:dyDescent="0.3">
      <c r="A69" s="8">
        <v>69</v>
      </c>
      <c r="B69" s="9" t="s">
        <v>2339</v>
      </c>
      <c r="C69" s="9" t="s">
        <v>2345</v>
      </c>
      <c r="D69" s="10">
        <v>5.8</v>
      </c>
      <c r="E69" s="9"/>
      <c r="F69" s="8">
        <v>48</v>
      </c>
      <c r="G69" s="8">
        <v>18</v>
      </c>
      <c r="H69" s="9" t="str">
        <f>VLOOKUP(materiel[[#This Row],[ID_fournisseur]],fournisseur[],2,FALSE)</f>
        <v>Sécurimed</v>
      </c>
    </row>
    <row r="70" spans="1:8" x14ac:dyDescent="0.3">
      <c r="A70" s="8">
        <v>70</v>
      </c>
      <c r="B70" s="9" t="s">
        <v>2339</v>
      </c>
      <c r="C70" s="9" t="s">
        <v>2346</v>
      </c>
      <c r="D70" s="10">
        <v>5.8</v>
      </c>
      <c r="E70" s="9"/>
      <c r="F70" s="8">
        <v>64</v>
      </c>
      <c r="G70" s="8">
        <v>18</v>
      </c>
      <c r="H70" s="9" t="str">
        <f>VLOOKUP(materiel[[#This Row],[ID_fournisseur]],fournisseur[],2,FALSE)</f>
        <v>Sécurimed</v>
      </c>
    </row>
    <row r="71" spans="1:8" x14ac:dyDescent="0.3">
      <c r="A71" s="8">
        <v>71</v>
      </c>
      <c r="B71" s="9" t="s">
        <v>2339</v>
      </c>
      <c r="C71" s="9" t="s">
        <v>2347</v>
      </c>
      <c r="D71" s="10">
        <v>5.8</v>
      </c>
      <c r="E71" s="9"/>
      <c r="F71" s="8">
        <v>65</v>
      </c>
      <c r="G71" s="8">
        <v>18</v>
      </c>
      <c r="H71" s="9" t="str">
        <f>VLOOKUP(materiel[[#This Row],[ID_fournisseur]],fournisseur[],2,FALSE)</f>
        <v>Sécurimed</v>
      </c>
    </row>
    <row r="72" spans="1:8" x14ac:dyDescent="0.3">
      <c r="A72" s="8">
        <v>72</v>
      </c>
      <c r="B72" s="9" t="s">
        <v>2339</v>
      </c>
      <c r="C72" s="9" t="s">
        <v>2348</v>
      </c>
      <c r="D72" s="10">
        <v>5.8</v>
      </c>
      <c r="E72" s="9"/>
      <c r="F72" s="8">
        <v>66</v>
      </c>
      <c r="G72" s="8">
        <v>18</v>
      </c>
      <c r="H72" s="9" t="str">
        <f>VLOOKUP(materiel[[#This Row],[ID_fournisseur]],fournisseur[],2,FALSE)</f>
        <v>Sécurimed</v>
      </c>
    </row>
    <row r="73" spans="1:8" x14ac:dyDescent="0.3">
      <c r="A73" s="8">
        <v>73</v>
      </c>
      <c r="B73" s="9" t="s">
        <v>2339</v>
      </c>
      <c r="C73" s="9" t="s">
        <v>2349</v>
      </c>
      <c r="D73" s="10">
        <v>5.8</v>
      </c>
      <c r="E73" s="9"/>
      <c r="F73" s="8">
        <v>67</v>
      </c>
      <c r="G73" s="8">
        <v>18</v>
      </c>
      <c r="H73" s="9" t="str">
        <f>VLOOKUP(materiel[[#This Row],[ID_fournisseur]],fournisseur[],2,FALSE)</f>
        <v>Sécurimed</v>
      </c>
    </row>
    <row r="74" spans="1:8" x14ac:dyDescent="0.3">
      <c r="A74" s="8">
        <v>74</v>
      </c>
      <c r="B74" s="9" t="s">
        <v>2339</v>
      </c>
      <c r="C74" s="9" t="s">
        <v>2324</v>
      </c>
      <c r="D74" s="10">
        <v>5.8</v>
      </c>
      <c r="E74" s="9"/>
      <c r="F74" s="8">
        <v>68</v>
      </c>
      <c r="G74" s="8">
        <v>18</v>
      </c>
      <c r="H74" s="9" t="str">
        <f>VLOOKUP(materiel[[#This Row],[ID_fournisseur]],fournisseur[],2,FALSE)</f>
        <v>Sécurimed</v>
      </c>
    </row>
    <row r="75" spans="1:8" x14ac:dyDescent="0.3">
      <c r="A75" s="8">
        <v>75</v>
      </c>
      <c r="B75" s="9" t="s">
        <v>2339</v>
      </c>
      <c r="C75" s="9" t="s">
        <v>2350</v>
      </c>
      <c r="D75" s="10">
        <v>5.8</v>
      </c>
      <c r="E75" s="9"/>
      <c r="F75" s="8">
        <v>69</v>
      </c>
      <c r="G75" s="8">
        <v>18</v>
      </c>
      <c r="H75" s="9" t="str">
        <f>VLOOKUP(materiel[[#This Row],[ID_fournisseur]],fournisseur[],2,FALSE)</f>
        <v>Sécurimed</v>
      </c>
    </row>
    <row r="76" spans="1:8" x14ac:dyDescent="0.3">
      <c r="A76" s="8">
        <v>76</v>
      </c>
      <c r="B76" s="9" t="s">
        <v>2339</v>
      </c>
      <c r="C76" s="9" t="s">
        <v>2351</v>
      </c>
      <c r="D76" s="10">
        <v>5.8</v>
      </c>
      <c r="E76" s="9"/>
      <c r="F76" s="8">
        <v>76</v>
      </c>
      <c r="G76" s="8">
        <v>18</v>
      </c>
      <c r="H76" s="9" t="str">
        <f>VLOOKUP(materiel[[#This Row],[ID_fournisseur]],fournisseur[],2,FALSE)</f>
        <v>Sécurimed</v>
      </c>
    </row>
    <row r="77" spans="1:8" x14ac:dyDescent="0.3">
      <c r="A77" s="8">
        <v>77</v>
      </c>
      <c r="B77" s="9" t="s">
        <v>2339</v>
      </c>
      <c r="C77" s="9" t="s">
        <v>2352</v>
      </c>
      <c r="D77" s="10">
        <v>5.8</v>
      </c>
      <c r="E77" s="9"/>
      <c r="F77" s="8">
        <v>77</v>
      </c>
      <c r="G77" s="8">
        <v>18</v>
      </c>
      <c r="H77" s="9" t="str">
        <f>VLOOKUP(materiel[[#This Row],[ID_fournisseur]],fournisseur[],2,FALSE)</f>
        <v>Sécurimed</v>
      </c>
    </row>
    <row r="78" spans="1:8" x14ac:dyDescent="0.3">
      <c r="A78" s="8">
        <v>78</v>
      </c>
      <c r="B78" s="9" t="s">
        <v>2339</v>
      </c>
      <c r="C78" s="9" t="s">
        <v>2353</v>
      </c>
      <c r="D78" s="10">
        <v>5.8</v>
      </c>
      <c r="E78" s="9"/>
      <c r="F78" s="8">
        <v>78</v>
      </c>
      <c r="G78" s="8">
        <v>18</v>
      </c>
      <c r="H78" s="9" t="str">
        <f>VLOOKUP(materiel[[#This Row],[ID_fournisseur]],fournisseur[],2,FALSE)</f>
        <v>Sécurimed</v>
      </c>
    </row>
    <row r="79" spans="1:8" x14ac:dyDescent="0.3">
      <c r="A79" s="8">
        <v>79</v>
      </c>
      <c r="B79" s="9" t="s">
        <v>2339</v>
      </c>
      <c r="C79" s="9" t="s">
        <v>2354</v>
      </c>
      <c r="D79" s="10">
        <v>5.8</v>
      </c>
      <c r="E79" s="9"/>
      <c r="F79" s="8">
        <v>82</v>
      </c>
      <c r="G79" s="8">
        <v>18</v>
      </c>
      <c r="H79" s="9" t="str">
        <f>VLOOKUP(materiel[[#This Row],[ID_fournisseur]],fournisseur[],2,FALSE)</f>
        <v>Sécurimed</v>
      </c>
    </row>
    <row r="80" spans="1:8" x14ac:dyDescent="0.3">
      <c r="A80" s="8">
        <v>80</v>
      </c>
      <c r="B80" s="9" t="s">
        <v>2339</v>
      </c>
      <c r="C80" s="9" t="s">
        <v>2355</v>
      </c>
      <c r="D80" s="10">
        <v>5.8</v>
      </c>
      <c r="E80" s="9"/>
      <c r="F80" s="8">
        <v>83</v>
      </c>
      <c r="G80" s="8">
        <v>18</v>
      </c>
      <c r="H80" s="9" t="str">
        <f>VLOOKUP(materiel[[#This Row],[ID_fournisseur]],fournisseur[],2,FALSE)</f>
        <v>Sécurimed</v>
      </c>
    </row>
    <row r="81" spans="1:8" x14ac:dyDescent="0.3">
      <c r="A81" s="8">
        <v>81</v>
      </c>
      <c r="B81" s="9" t="s">
        <v>2339</v>
      </c>
      <c r="C81" s="9" t="s">
        <v>2356</v>
      </c>
      <c r="D81" s="10">
        <v>5.8</v>
      </c>
      <c r="E81" s="9"/>
      <c r="F81" s="8">
        <v>84</v>
      </c>
      <c r="G81" s="8">
        <v>18</v>
      </c>
      <c r="H81" s="9" t="str">
        <f>VLOOKUP(materiel[[#This Row],[ID_fournisseur]],fournisseur[],2,FALSE)</f>
        <v>Sécurimed</v>
      </c>
    </row>
    <row r="82" spans="1:8" x14ac:dyDescent="0.3">
      <c r="A82" s="8">
        <v>82</v>
      </c>
      <c r="B82" s="9" t="s">
        <v>2357</v>
      </c>
      <c r="C82" s="9" t="s">
        <v>2358</v>
      </c>
      <c r="D82" s="10">
        <v>10</v>
      </c>
      <c r="E82" s="9"/>
      <c r="F82" s="8">
        <v>43</v>
      </c>
      <c r="G82" s="8">
        <v>14</v>
      </c>
      <c r="H82" s="9" t="str">
        <f>VLOOKUP(materiel[[#This Row],[ID_fournisseur]],fournisseur[],2,FALSE)</f>
        <v>Pfaizer</v>
      </c>
    </row>
    <row r="83" spans="1:8" x14ac:dyDescent="0.3">
      <c r="A83" s="8">
        <v>83</v>
      </c>
      <c r="B83" s="9" t="s">
        <v>2357</v>
      </c>
      <c r="C83" s="9" t="s">
        <v>2359</v>
      </c>
      <c r="D83" s="10">
        <v>10</v>
      </c>
      <c r="E83" s="9"/>
      <c r="F83" s="8">
        <v>44</v>
      </c>
      <c r="G83" s="8">
        <v>14</v>
      </c>
      <c r="H83" s="9" t="str">
        <f>VLOOKUP(materiel[[#This Row],[ID_fournisseur]],fournisseur[],2,FALSE)</f>
        <v>Pfaizer</v>
      </c>
    </row>
    <row r="84" spans="1:8" x14ac:dyDescent="0.3">
      <c r="A84" s="8">
        <v>84</v>
      </c>
      <c r="B84" s="9" t="s">
        <v>2357</v>
      </c>
      <c r="C84" s="9" t="s">
        <v>2360</v>
      </c>
      <c r="D84" s="10">
        <v>10</v>
      </c>
      <c r="E84" s="9"/>
      <c r="F84" s="8">
        <v>45</v>
      </c>
      <c r="G84" s="8">
        <v>14</v>
      </c>
      <c r="H84" s="9" t="str">
        <f>VLOOKUP(materiel[[#This Row],[ID_fournisseur]],fournisseur[],2,FALSE)</f>
        <v>Pfaizer</v>
      </c>
    </row>
    <row r="85" spans="1:8" x14ac:dyDescent="0.3">
      <c r="A85" s="8">
        <v>85</v>
      </c>
      <c r="B85" s="9" t="s">
        <v>2357</v>
      </c>
      <c r="C85" s="9" t="s">
        <v>2361</v>
      </c>
      <c r="D85" s="10">
        <v>10</v>
      </c>
      <c r="E85" s="9"/>
      <c r="F85" s="8">
        <v>46</v>
      </c>
      <c r="G85" s="8">
        <v>14</v>
      </c>
      <c r="H85" s="9" t="str">
        <f>VLOOKUP(materiel[[#This Row],[ID_fournisseur]],fournisseur[],2,FALSE)</f>
        <v>Pfaizer</v>
      </c>
    </row>
    <row r="86" spans="1:8" x14ac:dyDescent="0.3">
      <c r="A86" s="8">
        <v>86</v>
      </c>
      <c r="B86" s="9" t="s">
        <v>2357</v>
      </c>
      <c r="C86" s="9" t="s">
        <v>2362</v>
      </c>
      <c r="D86" s="10">
        <v>10</v>
      </c>
      <c r="E86" s="9"/>
      <c r="F86" s="8">
        <v>47</v>
      </c>
      <c r="G86" s="8">
        <v>14</v>
      </c>
      <c r="H86" s="9" t="str">
        <f>VLOOKUP(materiel[[#This Row],[ID_fournisseur]],fournisseur[],2,FALSE)</f>
        <v>Pfaizer</v>
      </c>
    </row>
    <row r="87" spans="1:8" x14ac:dyDescent="0.3">
      <c r="A87" s="8">
        <v>87</v>
      </c>
      <c r="B87" s="9" t="s">
        <v>2357</v>
      </c>
      <c r="C87" s="9" t="s">
        <v>2363</v>
      </c>
      <c r="D87" s="10">
        <v>10</v>
      </c>
      <c r="E87" s="9"/>
      <c r="F87" s="8">
        <v>48</v>
      </c>
      <c r="G87" s="8">
        <v>14</v>
      </c>
      <c r="H87" s="9" t="str">
        <f>VLOOKUP(materiel[[#This Row],[ID_fournisseur]],fournisseur[],2,FALSE)</f>
        <v>Pfaizer</v>
      </c>
    </row>
    <row r="88" spans="1:8" x14ac:dyDescent="0.3">
      <c r="A88" s="8">
        <v>88</v>
      </c>
      <c r="B88" s="9" t="s">
        <v>2357</v>
      </c>
      <c r="C88" s="9" t="s">
        <v>2364</v>
      </c>
      <c r="D88" s="10">
        <v>10</v>
      </c>
      <c r="E88" s="9"/>
      <c r="F88" s="8">
        <v>64</v>
      </c>
      <c r="G88" s="8">
        <v>14</v>
      </c>
      <c r="H88" s="9" t="str">
        <f>VLOOKUP(materiel[[#This Row],[ID_fournisseur]],fournisseur[],2,FALSE)</f>
        <v>Pfaizer</v>
      </c>
    </row>
    <row r="89" spans="1:8" x14ac:dyDescent="0.3">
      <c r="A89" s="8">
        <v>89</v>
      </c>
      <c r="B89" s="9" t="s">
        <v>2357</v>
      </c>
      <c r="C89" s="9" t="s">
        <v>2365</v>
      </c>
      <c r="D89" s="10">
        <v>10</v>
      </c>
      <c r="E89" s="9"/>
      <c r="F89" s="8">
        <v>65</v>
      </c>
      <c r="G89" s="8">
        <v>14</v>
      </c>
      <c r="H89" s="9" t="str">
        <f>VLOOKUP(materiel[[#This Row],[ID_fournisseur]],fournisseur[],2,FALSE)</f>
        <v>Pfaizer</v>
      </c>
    </row>
    <row r="90" spans="1:8" x14ac:dyDescent="0.3">
      <c r="A90" s="8">
        <v>90</v>
      </c>
      <c r="B90" s="9" t="s">
        <v>2357</v>
      </c>
      <c r="C90" s="9" t="s">
        <v>2326</v>
      </c>
      <c r="D90" s="10">
        <v>10</v>
      </c>
      <c r="E90" s="9"/>
      <c r="F90" s="8">
        <v>66</v>
      </c>
      <c r="G90" s="8">
        <v>14</v>
      </c>
      <c r="H90" s="9" t="str">
        <f>VLOOKUP(materiel[[#This Row],[ID_fournisseur]],fournisseur[],2,FALSE)</f>
        <v>Pfaizer</v>
      </c>
    </row>
    <row r="91" spans="1:8" x14ac:dyDescent="0.3">
      <c r="A91" s="8">
        <v>91</v>
      </c>
      <c r="B91" s="9" t="s">
        <v>2357</v>
      </c>
      <c r="C91" s="9" t="s">
        <v>2366</v>
      </c>
      <c r="D91" s="10">
        <v>10</v>
      </c>
      <c r="E91" s="9"/>
      <c r="F91" s="8">
        <v>67</v>
      </c>
      <c r="G91" s="8">
        <v>14</v>
      </c>
      <c r="H91" s="9" t="str">
        <f>VLOOKUP(materiel[[#This Row],[ID_fournisseur]],fournisseur[],2,FALSE)</f>
        <v>Pfaizer</v>
      </c>
    </row>
    <row r="92" spans="1:8" x14ac:dyDescent="0.3">
      <c r="A92" s="8">
        <v>92</v>
      </c>
      <c r="B92" s="9" t="s">
        <v>2357</v>
      </c>
      <c r="C92" s="9" t="s">
        <v>2367</v>
      </c>
      <c r="D92" s="10">
        <v>10</v>
      </c>
      <c r="E92" s="9"/>
      <c r="F92" s="8">
        <v>68</v>
      </c>
      <c r="G92" s="8">
        <v>14</v>
      </c>
      <c r="H92" s="9" t="str">
        <f>VLOOKUP(materiel[[#This Row],[ID_fournisseur]],fournisseur[],2,FALSE)</f>
        <v>Pfaizer</v>
      </c>
    </row>
    <row r="93" spans="1:8" x14ac:dyDescent="0.3">
      <c r="A93" s="8">
        <v>93</v>
      </c>
      <c r="B93" s="9" t="s">
        <v>2357</v>
      </c>
      <c r="C93" s="9" t="s">
        <v>2368</v>
      </c>
      <c r="D93" s="10">
        <v>10</v>
      </c>
      <c r="E93" s="9"/>
      <c r="F93" s="8">
        <v>69</v>
      </c>
      <c r="G93" s="8">
        <v>14</v>
      </c>
      <c r="H93" s="9" t="str">
        <f>VLOOKUP(materiel[[#This Row],[ID_fournisseur]],fournisseur[],2,FALSE)</f>
        <v>Pfaizer</v>
      </c>
    </row>
    <row r="94" spans="1:8" x14ac:dyDescent="0.3">
      <c r="A94" s="8">
        <v>94</v>
      </c>
      <c r="B94" s="9" t="s">
        <v>2357</v>
      </c>
      <c r="C94" s="9" t="s">
        <v>2369</v>
      </c>
      <c r="D94" s="10">
        <v>10</v>
      </c>
      <c r="E94" s="9"/>
      <c r="F94" s="8">
        <v>76</v>
      </c>
      <c r="G94" s="8">
        <v>14</v>
      </c>
      <c r="H94" s="9" t="str">
        <f>VLOOKUP(materiel[[#This Row],[ID_fournisseur]],fournisseur[],2,FALSE)</f>
        <v>Pfaizer</v>
      </c>
    </row>
    <row r="95" spans="1:8" x14ac:dyDescent="0.3">
      <c r="A95" s="8">
        <v>95</v>
      </c>
      <c r="B95" s="9" t="s">
        <v>2357</v>
      </c>
      <c r="C95" s="9" t="s">
        <v>2370</v>
      </c>
      <c r="D95" s="10">
        <v>10</v>
      </c>
      <c r="E95" s="9"/>
      <c r="F95" s="8">
        <v>77</v>
      </c>
      <c r="G95" s="8">
        <v>14</v>
      </c>
      <c r="H95" s="9" t="str">
        <f>VLOOKUP(materiel[[#This Row],[ID_fournisseur]],fournisseur[],2,FALSE)</f>
        <v>Pfaizer</v>
      </c>
    </row>
    <row r="96" spans="1:8" x14ac:dyDescent="0.3">
      <c r="A96" s="8">
        <v>96</v>
      </c>
      <c r="B96" s="9" t="s">
        <v>2357</v>
      </c>
      <c r="C96" s="9" t="s">
        <v>2371</v>
      </c>
      <c r="D96" s="10">
        <v>10</v>
      </c>
      <c r="E96" s="9"/>
      <c r="F96" s="8">
        <v>78</v>
      </c>
      <c r="G96" s="8">
        <v>14</v>
      </c>
      <c r="H96" s="9" t="str">
        <f>VLOOKUP(materiel[[#This Row],[ID_fournisseur]],fournisseur[],2,FALSE)</f>
        <v>Pfaizer</v>
      </c>
    </row>
    <row r="97" spans="1:8" x14ac:dyDescent="0.3">
      <c r="A97" s="8">
        <v>97</v>
      </c>
      <c r="B97" s="9" t="s">
        <v>2357</v>
      </c>
      <c r="C97" s="9" t="s">
        <v>2372</v>
      </c>
      <c r="D97" s="10">
        <v>10</v>
      </c>
      <c r="E97" s="9"/>
      <c r="F97" s="8">
        <v>82</v>
      </c>
      <c r="G97" s="8">
        <v>14</v>
      </c>
      <c r="H97" s="9" t="str">
        <f>VLOOKUP(materiel[[#This Row],[ID_fournisseur]],fournisseur[],2,FALSE)</f>
        <v>Pfaizer</v>
      </c>
    </row>
    <row r="98" spans="1:8" x14ac:dyDescent="0.3">
      <c r="A98" s="8">
        <v>98</v>
      </c>
      <c r="B98" s="9" t="s">
        <v>2357</v>
      </c>
      <c r="C98" s="9" t="s">
        <v>2373</v>
      </c>
      <c r="D98" s="10">
        <v>10</v>
      </c>
      <c r="E98" s="9"/>
      <c r="F98" s="8">
        <v>83</v>
      </c>
      <c r="G98" s="8">
        <v>14</v>
      </c>
      <c r="H98" s="9" t="str">
        <f>VLOOKUP(materiel[[#This Row],[ID_fournisseur]],fournisseur[],2,FALSE)</f>
        <v>Pfaizer</v>
      </c>
    </row>
    <row r="99" spans="1:8" x14ac:dyDescent="0.3">
      <c r="A99" s="8">
        <v>99</v>
      </c>
      <c r="B99" s="9" t="s">
        <v>2357</v>
      </c>
      <c r="C99" s="9" t="s">
        <v>2374</v>
      </c>
      <c r="D99" s="10">
        <v>10</v>
      </c>
      <c r="E99" s="9"/>
      <c r="F99" s="8">
        <v>84</v>
      </c>
      <c r="G99" s="8">
        <v>14</v>
      </c>
      <c r="H99" s="9" t="str">
        <f>VLOOKUP(materiel[[#This Row],[ID_fournisseur]],fournisseur[],2,FALSE)</f>
        <v>Pfaizer</v>
      </c>
    </row>
    <row r="100" spans="1:8" x14ac:dyDescent="0.3">
      <c r="A100" s="8">
        <v>100</v>
      </c>
      <c r="B100" s="9" t="s">
        <v>2764</v>
      </c>
      <c r="C100" s="9" t="s">
        <v>2375</v>
      </c>
      <c r="D100" s="10">
        <v>90</v>
      </c>
      <c r="E100" s="9"/>
      <c r="F100" s="8">
        <v>43</v>
      </c>
      <c r="G100" s="8">
        <v>15</v>
      </c>
      <c r="H100" s="9" t="str">
        <f>VLOOKUP(materiel[[#This Row],[ID_fournisseur]],fournisseur[],2,FALSE)</f>
        <v>Roche</v>
      </c>
    </row>
    <row r="101" spans="1:8" x14ac:dyDescent="0.3">
      <c r="A101" s="8">
        <v>101</v>
      </c>
      <c r="B101" s="9" t="s">
        <v>2764</v>
      </c>
      <c r="C101" s="9" t="s">
        <v>2376</v>
      </c>
      <c r="D101" s="10">
        <v>90</v>
      </c>
      <c r="E101" s="9"/>
      <c r="F101" s="8">
        <v>44</v>
      </c>
      <c r="G101" s="8">
        <v>15</v>
      </c>
      <c r="H101" s="9" t="str">
        <f>VLOOKUP(materiel[[#This Row],[ID_fournisseur]],fournisseur[],2,FALSE)</f>
        <v>Roche</v>
      </c>
    </row>
    <row r="102" spans="1:8" x14ac:dyDescent="0.3">
      <c r="A102" s="8">
        <v>102</v>
      </c>
      <c r="B102" s="9" t="s">
        <v>2764</v>
      </c>
      <c r="C102" s="9" t="s">
        <v>2377</v>
      </c>
      <c r="D102" s="10">
        <v>90</v>
      </c>
      <c r="E102" s="9"/>
      <c r="F102" s="8">
        <v>45</v>
      </c>
      <c r="G102" s="8">
        <v>15</v>
      </c>
      <c r="H102" s="9" t="str">
        <f>VLOOKUP(materiel[[#This Row],[ID_fournisseur]],fournisseur[],2,FALSE)</f>
        <v>Roche</v>
      </c>
    </row>
    <row r="103" spans="1:8" x14ac:dyDescent="0.3">
      <c r="A103" s="8">
        <v>103</v>
      </c>
      <c r="B103" s="9" t="s">
        <v>2764</v>
      </c>
      <c r="C103" s="9" t="s">
        <v>2378</v>
      </c>
      <c r="D103" s="10">
        <v>90</v>
      </c>
      <c r="E103" s="9"/>
      <c r="F103" s="8">
        <v>46</v>
      </c>
      <c r="G103" s="8">
        <v>15</v>
      </c>
      <c r="H103" s="9" t="str">
        <f>VLOOKUP(materiel[[#This Row],[ID_fournisseur]],fournisseur[],2,FALSE)</f>
        <v>Roche</v>
      </c>
    </row>
    <row r="104" spans="1:8" x14ac:dyDescent="0.3">
      <c r="A104" s="8">
        <v>104</v>
      </c>
      <c r="B104" s="9" t="s">
        <v>2764</v>
      </c>
      <c r="C104" s="9" t="s">
        <v>2379</v>
      </c>
      <c r="D104" s="10">
        <v>90</v>
      </c>
      <c r="E104" s="9"/>
      <c r="F104" s="8">
        <v>47</v>
      </c>
      <c r="G104" s="8">
        <v>15</v>
      </c>
      <c r="H104" s="9" t="str">
        <f>VLOOKUP(materiel[[#This Row],[ID_fournisseur]],fournisseur[],2,FALSE)</f>
        <v>Roche</v>
      </c>
    </row>
    <row r="105" spans="1:8" x14ac:dyDescent="0.3">
      <c r="A105" s="8">
        <v>105</v>
      </c>
      <c r="B105" s="9" t="s">
        <v>2764</v>
      </c>
      <c r="C105" s="9" t="s">
        <v>2380</v>
      </c>
      <c r="D105" s="10">
        <v>90</v>
      </c>
      <c r="E105" s="9"/>
      <c r="F105" s="8">
        <v>48</v>
      </c>
      <c r="G105" s="8">
        <v>15</v>
      </c>
      <c r="H105" s="9" t="str">
        <f>VLOOKUP(materiel[[#This Row],[ID_fournisseur]],fournisseur[],2,FALSE)</f>
        <v>Roche</v>
      </c>
    </row>
    <row r="106" spans="1:8" x14ac:dyDescent="0.3">
      <c r="A106" s="8">
        <v>106</v>
      </c>
      <c r="B106" s="9" t="s">
        <v>2764</v>
      </c>
      <c r="C106" s="9" t="s">
        <v>2381</v>
      </c>
      <c r="D106" s="10">
        <v>90</v>
      </c>
      <c r="E106" s="9"/>
      <c r="F106" s="8">
        <v>64</v>
      </c>
      <c r="G106" s="8">
        <v>15</v>
      </c>
      <c r="H106" s="9" t="str">
        <f>VLOOKUP(materiel[[#This Row],[ID_fournisseur]],fournisseur[],2,FALSE)</f>
        <v>Roche</v>
      </c>
    </row>
    <row r="107" spans="1:8" x14ac:dyDescent="0.3">
      <c r="A107" s="8">
        <v>107</v>
      </c>
      <c r="B107" s="9" t="s">
        <v>2764</v>
      </c>
      <c r="C107" s="9" t="s">
        <v>2382</v>
      </c>
      <c r="D107" s="10">
        <v>90</v>
      </c>
      <c r="E107" s="9"/>
      <c r="F107" s="8">
        <v>65</v>
      </c>
      <c r="G107" s="8">
        <v>15</v>
      </c>
      <c r="H107" s="9" t="str">
        <f>VLOOKUP(materiel[[#This Row],[ID_fournisseur]],fournisseur[],2,FALSE)</f>
        <v>Roche</v>
      </c>
    </row>
    <row r="108" spans="1:8" x14ac:dyDescent="0.3">
      <c r="A108" s="8">
        <v>108</v>
      </c>
      <c r="B108" s="9" t="s">
        <v>2764</v>
      </c>
      <c r="C108" s="9" t="s">
        <v>2383</v>
      </c>
      <c r="D108" s="10">
        <v>90</v>
      </c>
      <c r="E108" s="9"/>
      <c r="F108" s="8">
        <v>66</v>
      </c>
      <c r="G108" s="8">
        <v>15</v>
      </c>
      <c r="H108" s="9" t="str">
        <f>VLOOKUP(materiel[[#This Row],[ID_fournisseur]],fournisseur[],2,FALSE)</f>
        <v>Roche</v>
      </c>
    </row>
    <row r="109" spans="1:8" x14ac:dyDescent="0.3">
      <c r="A109" s="8">
        <v>109</v>
      </c>
      <c r="B109" s="9" t="s">
        <v>2764</v>
      </c>
      <c r="C109" s="9" t="s">
        <v>2384</v>
      </c>
      <c r="D109" s="10">
        <v>90</v>
      </c>
      <c r="E109" s="9"/>
      <c r="F109" s="8">
        <v>67</v>
      </c>
      <c r="G109" s="8">
        <v>15</v>
      </c>
      <c r="H109" s="9" t="str">
        <f>VLOOKUP(materiel[[#This Row],[ID_fournisseur]],fournisseur[],2,FALSE)</f>
        <v>Roche</v>
      </c>
    </row>
    <row r="110" spans="1:8" x14ac:dyDescent="0.3">
      <c r="A110" s="8">
        <v>110</v>
      </c>
      <c r="B110" s="9" t="s">
        <v>2764</v>
      </c>
      <c r="C110" s="9" t="s">
        <v>2348</v>
      </c>
      <c r="D110" s="10">
        <v>90</v>
      </c>
      <c r="E110" s="9"/>
      <c r="F110" s="8">
        <v>68</v>
      </c>
      <c r="G110" s="8">
        <v>15</v>
      </c>
      <c r="H110" s="9" t="str">
        <f>VLOOKUP(materiel[[#This Row],[ID_fournisseur]],fournisseur[],2,FALSE)</f>
        <v>Roche</v>
      </c>
    </row>
    <row r="111" spans="1:8" x14ac:dyDescent="0.3">
      <c r="A111" s="8">
        <v>111</v>
      </c>
      <c r="B111" s="9" t="s">
        <v>2764</v>
      </c>
      <c r="C111" s="9" t="s">
        <v>2385</v>
      </c>
      <c r="D111" s="10">
        <v>90</v>
      </c>
      <c r="E111" s="9"/>
      <c r="F111" s="8">
        <v>69</v>
      </c>
      <c r="G111" s="8">
        <v>15</v>
      </c>
      <c r="H111" s="9" t="str">
        <f>VLOOKUP(materiel[[#This Row],[ID_fournisseur]],fournisseur[],2,FALSE)</f>
        <v>Roche</v>
      </c>
    </row>
    <row r="112" spans="1:8" x14ac:dyDescent="0.3">
      <c r="A112" s="8">
        <v>112</v>
      </c>
      <c r="B112" s="9" t="s">
        <v>2764</v>
      </c>
      <c r="C112" s="9" t="s">
        <v>2386</v>
      </c>
      <c r="D112" s="10">
        <v>90</v>
      </c>
      <c r="E112" s="9"/>
      <c r="F112" s="8">
        <v>76</v>
      </c>
      <c r="G112" s="8">
        <v>15</v>
      </c>
      <c r="H112" s="9" t="str">
        <f>VLOOKUP(materiel[[#This Row],[ID_fournisseur]],fournisseur[],2,FALSE)</f>
        <v>Roche</v>
      </c>
    </row>
    <row r="113" spans="1:8" x14ac:dyDescent="0.3">
      <c r="A113" s="8">
        <v>113</v>
      </c>
      <c r="B113" s="9" t="s">
        <v>2764</v>
      </c>
      <c r="C113" s="9" t="s">
        <v>2387</v>
      </c>
      <c r="D113" s="10">
        <v>90</v>
      </c>
      <c r="E113" s="9"/>
      <c r="F113" s="8">
        <v>77</v>
      </c>
      <c r="G113" s="8">
        <v>15</v>
      </c>
      <c r="H113" s="9" t="str">
        <f>VLOOKUP(materiel[[#This Row],[ID_fournisseur]],fournisseur[],2,FALSE)</f>
        <v>Roche</v>
      </c>
    </row>
    <row r="114" spans="1:8" x14ac:dyDescent="0.3">
      <c r="A114" s="8">
        <v>114</v>
      </c>
      <c r="B114" s="9" t="s">
        <v>2764</v>
      </c>
      <c r="C114" s="9" t="s">
        <v>2388</v>
      </c>
      <c r="D114" s="10">
        <v>90</v>
      </c>
      <c r="E114" s="9"/>
      <c r="F114" s="8">
        <v>78</v>
      </c>
      <c r="G114" s="8">
        <v>15</v>
      </c>
      <c r="H114" s="9" t="str">
        <f>VLOOKUP(materiel[[#This Row],[ID_fournisseur]],fournisseur[],2,FALSE)</f>
        <v>Roche</v>
      </c>
    </row>
    <row r="115" spans="1:8" x14ac:dyDescent="0.3">
      <c r="A115" s="8">
        <v>115</v>
      </c>
      <c r="B115" s="9" t="s">
        <v>2764</v>
      </c>
      <c r="C115" s="9" t="s">
        <v>2389</v>
      </c>
      <c r="D115" s="10">
        <v>90</v>
      </c>
      <c r="E115" s="9"/>
      <c r="F115" s="8">
        <v>82</v>
      </c>
      <c r="G115" s="8">
        <v>15</v>
      </c>
      <c r="H115" s="9" t="str">
        <f>VLOOKUP(materiel[[#This Row],[ID_fournisseur]],fournisseur[],2,FALSE)</f>
        <v>Roche</v>
      </c>
    </row>
    <row r="116" spans="1:8" x14ac:dyDescent="0.3">
      <c r="A116" s="8">
        <v>116</v>
      </c>
      <c r="B116" s="9" t="s">
        <v>2764</v>
      </c>
      <c r="C116" s="9" t="s">
        <v>2390</v>
      </c>
      <c r="D116" s="10">
        <v>90</v>
      </c>
      <c r="E116" s="9"/>
      <c r="F116" s="8">
        <v>83</v>
      </c>
      <c r="G116" s="8">
        <v>15</v>
      </c>
      <c r="H116" s="9" t="str">
        <f>VLOOKUP(materiel[[#This Row],[ID_fournisseur]],fournisseur[],2,FALSE)</f>
        <v>Roche</v>
      </c>
    </row>
    <row r="117" spans="1:8" x14ac:dyDescent="0.3">
      <c r="A117" s="8">
        <v>117</v>
      </c>
      <c r="B117" s="9" t="s">
        <v>2764</v>
      </c>
      <c r="C117" s="9" t="s">
        <v>2391</v>
      </c>
      <c r="D117" s="10">
        <v>90</v>
      </c>
      <c r="E117" s="9"/>
      <c r="F117" s="8">
        <v>84</v>
      </c>
      <c r="G117" s="8">
        <v>15</v>
      </c>
      <c r="H117" s="9" t="str">
        <f>VLOOKUP(materiel[[#This Row],[ID_fournisseur]],fournisseur[],2,FALSE)</f>
        <v>Roche</v>
      </c>
    </row>
    <row r="118" spans="1:8" x14ac:dyDescent="0.3">
      <c r="A118" s="8">
        <v>121</v>
      </c>
      <c r="B118" s="9" t="s">
        <v>2284</v>
      </c>
      <c r="C118" s="9"/>
      <c r="D118" s="10">
        <v>3000.99</v>
      </c>
      <c r="E118" s="9" t="s">
        <v>2392</v>
      </c>
      <c r="F118" s="8">
        <v>82</v>
      </c>
      <c r="G118" s="8">
        <v>3</v>
      </c>
      <c r="H118" s="9" t="str">
        <f>VLOOKUP(materiel[[#This Row],[ID_fournisseur]],fournisseur[],2,FALSE)</f>
        <v>Siemens</v>
      </c>
    </row>
    <row r="119" spans="1:8" x14ac:dyDescent="0.3">
      <c r="A119" s="8">
        <v>122</v>
      </c>
      <c r="B119" s="9" t="s">
        <v>2284</v>
      </c>
      <c r="C119" s="9"/>
      <c r="D119" s="10">
        <v>3000.99</v>
      </c>
      <c r="E119" s="9" t="s">
        <v>2393</v>
      </c>
      <c r="F119" s="8">
        <v>83</v>
      </c>
      <c r="G119" s="8">
        <v>3</v>
      </c>
      <c r="H119" s="9" t="str">
        <f>VLOOKUP(materiel[[#This Row],[ID_fournisseur]],fournisseur[],2,FALSE)</f>
        <v>Siemens</v>
      </c>
    </row>
    <row r="120" spans="1:8" x14ac:dyDescent="0.3">
      <c r="A120" s="8">
        <v>123</v>
      </c>
      <c r="B120" s="9" t="s">
        <v>2284</v>
      </c>
      <c r="C120" s="9"/>
      <c r="D120" s="10">
        <v>3000.99</v>
      </c>
      <c r="E120" s="9" t="s">
        <v>2297</v>
      </c>
      <c r="F120" s="8">
        <v>84</v>
      </c>
      <c r="G120" s="8">
        <v>3</v>
      </c>
      <c r="H120" s="9" t="str">
        <f>VLOOKUP(materiel[[#This Row],[ID_fournisseur]],fournisseur[],2,FALSE)</f>
        <v>Siemens</v>
      </c>
    </row>
    <row r="121" spans="1:8" x14ac:dyDescent="0.3">
      <c r="A121" s="8">
        <v>124</v>
      </c>
      <c r="B121" s="9" t="s">
        <v>2284</v>
      </c>
      <c r="C121" s="9"/>
      <c r="D121" s="10">
        <v>3000.99</v>
      </c>
      <c r="E121" s="9" t="s">
        <v>2394</v>
      </c>
      <c r="F121" s="8">
        <v>82</v>
      </c>
      <c r="G121" s="8">
        <v>3</v>
      </c>
      <c r="H121" s="9" t="str">
        <f>VLOOKUP(materiel[[#This Row],[ID_fournisseur]],fournisseur[],2,FALSE)</f>
        <v>Siemens</v>
      </c>
    </row>
    <row r="122" spans="1:8" x14ac:dyDescent="0.3">
      <c r="A122" s="8">
        <v>125</v>
      </c>
      <c r="B122" s="9" t="s">
        <v>2284</v>
      </c>
      <c r="C122" s="9"/>
      <c r="D122" s="10">
        <v>3000.99</v>
      </c>
      <c r="E122" s="9" t="s">
        <v>2395</v>
      </c>
      <c r="F122" s="8">
        <v>83</v>
      </c>
      <c r="G122" s="8">
        <v>3</v>
      </c>
      <c r="H122" s="9" t="str">
        <f>VLOOKUP(materiel[[#This Row],[ID_fournisseur]],fournisseur[],2,FALSE)</f>
        <v>Siemens</v>
      </c>
    </row>
    <row r="123" spans="1:8" x14ac:dyDescent="0.3">
      <c r="A123" s="8">
        <v>126</v>
      </c>
      <c r="B123" s="9" t="s">
        <v>2284</v>
      </c>
      <c r="C123" s="9"/>
      <c r="D123" s="10">
        <v>3000.99</v>
      </c>
      <c r="E123" s="9" t="s">
        <v>2396</v>
      </c>
      <c r="F123" s="8">
        <v>84</v>
      </c>
      <c r="G123" s="8">
        <v>3</v>
      </c>
      <c r="H123" s="9" t="str">
        <f>VLOOKUP(materiel[[#This Row],[ID_fournisseur]],fournisseur[],2,FALSE)</f>
        <v>Siemens</v>
      </c>
    </row>
    <row r="124" spans="1:8" x14ac:dyDescent="0.3">
      <c r="A124" s="8">
        <v>127</v>
      </c>
      <c r="B124" s="9" t="s">
        <v>2284</v>
      </c>
      <c r="C124" s="9"/>
      <c r="D124" s="10">
        <v>3000.99</v>
      </c>
      <c r="E124" s="9" t="s">
        <v>2397</v>
      </c>
      <c r="F124" s="8">
        <v>82</v>
      </c>
      <c r="G124" s="8">
        <v>3</v>
      </c>
      <c r="H124" s="9" t="str">
        <f>VLOOKUP(materiel[[#This Row],[ID_fournisseur]],fournisseur[],2,FALSE)</f>
        <v>Siemens</v>
      </c>
    </row>
    <row r="125" spans="1:8" x14ac:dyDescent="0.3">
      <c r="A125" s="8">
        <v>128</v>
      </c>
      <c r="B125" s="9" t="s">
        <v>2284</v>
      </c>
      <c r="C125" s="9"/>
      <c r="D125" s="10">
        <v>3000.99</v>
      </c>
      <c r="E125" s="9" t="s">
        <v>2398</v>
      </c>
      <c r="F125" s="8">
        <v>83</v>
      </c>
      <c r="G125" s="8">
        <v>3</v>
      </c>
      <c r="H125" s="9" t="str">
        <f>VLOOKUP(materiel[[#This Row],[ID_fournisseur]],fournisseur[],2,FALSE)</f>
        <v>Siemens</v>
      </c>
    </row>
    <row r="126" spans="1:8" x14ac:dyDescent="0.3">
      <c r="A126" s="8">
        <v>129</v>
      </c>
      <c r="B126" s="9" t="s">
        <v>2284</v>
      </c>
      <c r="C126" s="9"/>
      <c r="D126" s="10">
        <v>3000.99</v>
      </c>
      <c r="E126" s="9" t="s">
        <v>2399</v>
      </c>
      <c r="F126" s="8">
        <v>84</v>
      </c>
      <c r="G126" s="8">
        <v>3</v>
      </c>
      <c r="H126" s="9" t="str">
        <f>VLOOKUP(materiel[[#This Row],[ID_fournisseur]],fournisseur[],2,FALSE)</f>
        <v>Siemens</v>
      </c>
    </row>
    <row r="127" spans="1:8" x14ac:dyDescent="0.3">
      <c r="A127" s="8">
        <v>130</v>
      </c>
      <c r="B127" s="9" t="s">
        <v>2275</v>
      </c>
      <c r="C127" s="9">
        <v>1</v>
      </c>
      <c r="D127" s="10">
        <v>500</v>
      </c>
      <c r="E127" s="9" t="s">
        <v>2771</v>
      </c>
      <c r="F127" s="8">
        <v>40</v>
      </c>
      <c r="G127" s="8">
        <v>7</v>
      </c>
      <c r="H127" s="9" t="str">
        <f>VLOOKUP(materiel[[#This Row],[ID_fournisseur]],fournisseur[],2,FALSE)</f>
        <v>Théa</v>
      </c>
    </row>
    <row r="128" spans="1:8" x14ac:dyDescent="0.3">
      <c r="A128" s="8">
        <v>131</v>
      </c>
      <c r="B128" s="9" t="s">
        <v>2275</v>
      </c>
      <c r="C128" s="9"/>
      <c r="D128" s="10"/>
      <c r="E128" s="9"/>
      <c r="F128" s="8">
        <v>40</v>
      </c>
      <c r="G128" s="8">
        <v>1</v>
      </c>
      <c r="H128" s="9" t="str">
        <f>VLOOKUP(materiel[[#This Row],[ID_fournisseur]],fournisseur[],2,FALSE)</f>
        <v>Sanofi</v>
      </c>
    </row>
    <row r="129" spans="1:8" x14ac:dyDescent="0.3">
      <c r="A129" s="8">
        <v>132</v>
      </c>
      <c r="B129" s="9" t="s">
        <v>2275</v>
      </c>
      <c r="C129" s="9"/>
      <c r="D129" s="10"/>
      <c r="E129" s="9"/>
      <c r="F129" s="8">
        <v>46</v>
      </c>
      <c r="G129" s="8">
        <v>3</v>
      </c>
      <c r="H129" s="9" t="str">
        <f>VLOOKUP(materiel[[#This Row],[ID_fournisseur]],fournisseur[],2,FALSE)</f>
        <v>Siemens</v>
      </c>
    </row>
    <row r="130" spans="1:8" x14ac:dyDescent="0.3">
      <c r="A130" s="8">
        <v>133</v>
      </c>
      <c r="B130" s="9" t="s">
        <v>2793</v>
      </c>
      <c r="C130" s="9"/>
      <c r="D130" s="10">
        <v>50</v>
      </c>
      <c r="E130" s="9"/>
      <c r="F130" s="8">
        <v>46</v>
      </c>
      <c r="G130" s="8">
        <v>8</v>
      </c>
      <c r="H130" s="9" t="s">
        <v>2430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/>
  <dimension ref="A1:G25"/>
  <sheetViews>
    <sheetView workbookViewId="0">
      <pane ySplit="1" topLeftCell="A2" activePane="bottomLeft" state="frozen"/>
      <selection pane="bottomLeft" activeCell="H6" sqref="H6"/>
    </sheetView>
  </sheetViews>
  <sheetFormatPr baseColWidth="10" defaultRowHeight="14.4" x14ac:dyDescent="0.3"/>
  <cols>
    <col min="1" max="1" width="18.6640625" bestFit="1" customWidth="1"/>
    <col min="2" max="2" width="21.33203125" bestFit="1" customWidth="1"/>
    <col min="3" max="3" width="22.33203125" bestFit="1" customWidth="1"/>
    <col min="4" max="4" width="9.44140625" bestFit="1" customWidth="1"/>
    <col min="5" max="5" width="13.6640625" bestFit="1" customWidth="1"/>
    <col min="6" max="6" width="17.6640625" bestFit="1" customWidth="1"/>
    <col min="7" max="7" width="20" bestFit="1" customWidth="1"/>
  </cols>
  <sheetData>
    <row r="1" spans="1:7" x14ac:dyDescent="0.3">
      <c r="A1" s="8" t="s">
        <v>2400</v>
      </c>
      <c r="B1" s="8" t="s">
        <v>2401</v>
      </c>
      <c r="C1" s="8" t="s">
        <v>2402</v>
      </c>
      <c r="D1" s="8" t="s">
        <v>2403</v>
      </c>
      <c r="E1" s="8" t="s">
        <v>2404</v>
      </c>
      <c r="F1" s="8" t="s">
        <v>2274</v>
      </c>
      <c r="G1" s="8" t="s">
        <v>2425</v>
      </c>
    </row>
    <row r="2" spans="1:7" x14ac:dyDescent="0.3">
      <c r="A2" s="8">
        <v>1506</v>
      </c>
      <c r="B2" s="9" t="s">
        <v>2264</v>
      </c>
      <c r="C2" s="8">
        <v>80</v>
      </c>
      <c r="D2" s="8">
        <v>90</v>
      </c>
      <c r="E2" s="16">
        <f>25</f>
        <v>25</v>
      </c>
      <c r="F2" s="8">
        <v>1</v>
      </c>
      <c r="G2" s="8" t="str">
        <f>VLOOKUP(medicament[[#This Row],[ID_fournisseur]],fournisseur[],2,FALSE)</f>
        <v>Sanofi</v>
      </c>
    </row>
    <row r="3" spans="1:7" x14ac:dyDescent="0.3">
      <c r="A3" s="8">
        <v>1507</v>
      </c>
      <c r="B3" s="9" t="s">
        <v>2405</v>
      </c>
      <c r="C3" s="8">
        <v>728</v>
      </c>
      <c r="D3" s="8">
        <v>100</v>
      </c>
      <c r="E3" s="17">
        <v>50</v>
      </c>
      <c r="F3" s="8">
        <v>1</v>
      </c>
      <c r="G3" s="8" t="str">
        <f>VLOOKUP(medicament[[#This Row],[ID_fournisseur]],fournisseur[],2,FALSE)</f>
        <v>Sanofi</v>
      </c>
    </row>
    <row r="4" spans="1:7" x14ac:dyDescent="0.3">
      <c r="A4" s="8">
        <v>1508</v>
      </c>
      <c r="B4" s="9" t="s">
        <v>2406</v>
      </c>
      <c r="C4" s="8">
        <v>469</v>
      </c>
      <c r="D4" s="8">
        <v>150</v>
      </c>
      <c r="E4" s="17">
        <v>10</v>
      </c>
      <c r="F4" s="8">
        <v>7</v>
      </c>
      <c r="G4" s="8" t="str">
        <f>VLOOKUP(medicament[[#This Row],[ID_fournisseur]],fournisseur[],2,FALSE)</f>
        <v>Théa</v>
      </c>
    </row>
    <row r="5" spans="1:7" x14ac:dyDescent="0.3">
      <c r="A5" s="8">
        <v>1509</v>
      </c>
      <c r="B5" s="9" t="s">
        <v>2407</v>
      </c>
      <c r="C5" s="8">
        <v>157</v>
      </c>
      <c r="D5" s="8">
        <v>100</v>
      </c>
      <c r="E5" s="17">
        <v>15</v>
      </c>
      <c r="F5" s="8">
        <v>8</v>
      </c>
      <c r="G5" s="8" t="str">
        <f>VLOOKUP(medicament[[#This Row],[ID_fournisseur]],fournisseur[],2,FALSE)</f>
        <v>Servier</v>
      </c>
    </row>
    <row r="6" spans="1:7" x14ac:dyDescent="0.3">
      <c r="A6" s="8">
        <v>1510</v>
      </c>
      <c r="B6" s="9" t="s">
        <v>2408</v>
      </c>
      <c r="C6" s="8">
        <v>648</v>
      </c>
      <c r="D6" s="8">
        <v>150</v>
      </c>
      <c r="E6" s="17">
        <v>40.6</v>
      </c>
      <c r="F6" s="8">
        <v>10</v>
      </c>
      <c r="G6" s="8" t="str">
        <f>VLOOKUP(medicament[[#This Row],[ID_fournisseur]],fournisseur[],2,FALSE)</f>
        <v>Pierre Fabre</v>
      </c>
    </row>
    <row r="7" spans="1:7" x14ac:dyDescent="0.3">
      <c r="A7" s="8">
        <v>1511</v>
      </c>
      <c r="B7" s="9" t="s">
        <v>2409</v>
      </c>
      <c r="C7" s="8">
        <v>201</v>
      </c>
      <c r="D7" s="8">
        <v>200</v>
      </c>
      <c r="E7" s="17">
        <v>56.8</v>
      </c>
      <c r="F7" s="8">
        <v>16</v>
      </c>
      <c r="G7" s="8" t="str">
        <f>VLOOKUP(medicament[[#This Row],[ID_fournisseur]],fournisseur[],2,FALSE)</f>
        <v>Biogaran</v>
      </c>
    </row>
    <row r="8" spans="1:7" x14ac:dyDescent="0.3">
      <c r="A8" s="8">
        <v>1512</v>
      </c>
      <c r="B8" s="9" t="s">
        <v>2410</v>
      </c>
      <c r="C8" s="8">
        <v>189</v>
      </c>
      <c r="D8" s="8">
        <v>70</v>
      </c>
      <c r="E8" s="17">
        <v>45.5</v>
      </c>
      <c r="F8" s="8">
        <v>10</v>
      </c>
      <c r="G8" s="8" t="str">
        <f>VLOOKUP(medicament[[#This Row],[ID_fournisseur]],fournisseur[],2,FALSE)</f>
        <v>Pierre Fabre</v>
      </c>
    </row>
    <row r="9" spans="1:7" x14ac:dyDescent="0.3">
      <c r="A9" s="8">
        <v>1513</v>
      </c>
      <c r="B9" s="9" t="s">
        <v>2411</v>
      </c>
      <c r="C9" s="8">
        <v>255</v>
      </c>
      <c r="D9" s="8">
        <v>200</v>
      </c>
      <c r="E9" s="17">
        <v>15.5</v>
      </c>
      <c r="F9" s="8">
        <v>16</v>
      </c>
      <c r="G9" s="8" t="str">
        <f>VLOOKUP(medicament[[#This Row],[ID_fournisseur]],fournisseur[],2,FALSE)</f>
        <v>Biogaran</v>
      </c>
    </row>
    <row r="10" spans="1:7" x14ac:dyDescent="0.3">
      <c r="A10" s="8">
        <v>1514</v>
      </c>
      <c r="B10" s="9" t="s">
        <v>2412</v>
      </c>
      <c r="C10" s="19">
        <v>399</v>
      </c>
      <c r="D10" s="8">
        <v>400</v>
      </c>
      <c r="E10" s="17">
        <v>78</v>
      </c>
      <c r="F10" s="8">
        <v>10</v>
      </c>
      <c r="G10" s="8" t="str">
        <f>VLOOKUP(medicament[[#This Row],[ID_fournisseur]],fournisseur[],2,FALSE)</f>
        <v>Pierre Fabre</v>
      </c>
    </row>
    <row r="11" spans="1:7" x14ac:dyDescent="0.3">
      <c r="A11" s="8">
        <v>1515</v>
      </c>
      <c r="B11" s="9" t="s">
        <v>2413</v>
      </c>
      <c r="C11" s="8">
        <v>257</v>
      </c>
      <c r="D11" s="8">
        <v>75</v>
      </c>
      <c r="E11" s="17">
        <v>40.5</v>
      </c>
      <c r="F11" s="8">
        <v>10</v>
      </c>
      <c r="G11" s="8" t="str">
        <f>VLOOKUP(medicament[[#This Row],[ID_fournisseur]],fournisseur[],2,FALSE)</f>
        <v>Pierre Fabre</v>
      </c>
    </row>
    <row r="12" spans="1:7" x14ac:dyDescent="0.3">
      <c r="A12" s="8">
        <v>1516</v>
      </c>
      <c r="B12" s="9" t="s">
        <v>2414</v>
      </c>
      <c r="C12" s="8">
        <v>190</v>
      </c>
      <c r="D12" s="8">
        <v>200</v>
      </c>
      <c r="E12" s="17">
        <v>39.99</v>
      </c>
      <c r="F12" s="8">
        <v>7</v>
      </c>
      <c r="G12" s="8" t="str">
        <f>VLOOKUP(medicament[[#This Row],[ID_fournisseur]],fournisseur[],2,FALSE)</f>
        <v>Théa</v>
      </c>
    </row>
    <row r="13" spans="1:7" x14ac:dyDescent="0.3">
      <c r="A13" s="8">
        <v>1517</v>
      </c>
      <c r="B13" s="9" t="s">
        <v>2415</v>
      </c>
      <c r="C13" s="8">
        <v>314</v>
      </c>
      <c r="D13" s="8">
        <v>120</v>
      </c>
      <c r="E13" s="17">
        <v>19.989999999999998</v>
      </c>
      <c r="F13" s="8">
        <v>8</v>
      </c>
      <c r="G13" s="8" t="str">
        <f>VLOOKUP(medicament[[#This Row],[ID_fournisseur]],fournisseur[],2,FALSE)</f>
        <v>Servier</v>
      </c>
    </row>
    <row r="14" spans="1:7" x14ac:dyDescent="0.3">
      <c r="A14" s="8">
        <v>1518</v>
      </c>
      <c r="B14" s="9" t="s">
        <v>2416</v>
      </c>
      <c r="C14" s="8">
        <v>300</v>
      </c>
      <c r="D14" s="8">
        <v>80</v>
      </c>
      <c r="E14" s="17">
        <v>20</v>
      </c>
      <c r="F14" s="8">
        <v>12</v>
      </c>
      <c r="G14" s="8" t="str">
        <f>VLOOKUP(medicament[[#This Row],[ID_fournisseur]],fournisseur[],2,FALSE)</f>
        <v>Boiron</v>
      </c>
    </row>
    <row r="15" spans="1:7" x14ac:dyDescent="0.3">
      <c r="A15" s="8">
        <v>1519</v>
      </c>
      <c r="B15" s="9" t="s">
        <v>2417</v>
      </c>
      <c r="C15" s="8">
        <v>853</v>
      </c>
      <c r="D15" s="8">
        <v>300</v>
      </c>
      <c r="E15" s="17">
        <v>25.5</v>
      </c>
      <c r="F15" s="8">
        <v>16</v>
      </c>
      <c r="G15" s="8" t="str">
        <f>VLOOKUP(medicament[[#This Row],[ID_fournisseur]],fournisseur[],2,FALSE)</f>
        <v>Biogaran</v>
      </c>
    </row>
    <row r="16" spans="1:7" x14ac:dyDescent="0.3">
      <c r="A16" s="8">
        <v>1520</v>
      </c>
      <c r="B16" s="9" t="s">
        <v>2418</v>
      </c>
      <c r="C16" s="8">
        <v>187</v>
      </c>
      <c r="D16" s="8">
        <v>10</v>
      </c>
      <c r="E16" s="17">
        <v>50</v>
      </c>
      <c r="F16" s="8">
        <v>9</v>
      </c>
      <c r="G16" s="8" t="str">
        <f>VLOOKUP(medicament[[#This Row],[ID_fournisseur]],fournisseur[],2,FALSE)</f>
        <v>LFB</v>
      </c>
    </row>
    <row r="17" spans="1:7" x14ac:dyDescent="0.3">
      <c r="A17" s="8">
        <v>1521</v>
      </c>
      <c r="B17" s="9" t="s">
        <v>2419</v>
      </c>
      <c r="C17" s="8">
        <v>682</v>
      </c>
      <c r="D17" s="8">
        <v>50</v>
      </c>
      <c r="E17" s="17">
        <v>27</v>
      </c>
      <c r="F17" s="8">
        <v>10</v>
      </c>
      <c r="G17" s="8" t="str">
        <f>VLOOKUP(medicament[[#This Row],[ID_fournisseur]],fournisseur[],2,FALSE)</f>
        <v>Pierre Fabre</v>
      </c>
    </row>
    <row r="18" spans="1:7" x14ac:dyDescent="0.3">
      <c r="A18" s="8">
        <v>1522</v>
      </c>
      <c r="B18" s="9" t="s">
        <v>2420</v>
      </c>
      <c r="C18" s="8">
        <v>489</v>
      </c>
      <c r="D18" s="8">
        <v>200</v>
      </c>
      <c r="E18" s="17">
        <v>90</v>
      </c>
      <c r="F18" s="8">
        <v>16</v>
      </c>
      <c r="G18" s="8" t="str">
        <f>VLOOKUP(medicament[[#This Row],[ID_fournisseur]],fournisseur[],2,FALSE)</f>
        <v>Biogaran</v>
      </c>
    </row>
    <row r="19" spans="1:7" x14ac:dyDescent="0.3">
      <c r="A19" s="8">
        <v>1523</v>
      </c>
      <c r="B19" s="9" t="s">
        <v>2421</v>
      </c>
      <c r="C19" s="8">
        <v>581</v>
      </c>
      <c r="D19" s="8">
        <v>100</v>
      </c>
      <c r="E19" s="17">
        <v>70</v>
      </c>
      <c r="F19" s="8">
        <v>6</v>
      </c>
      <c r="G19" s="8" t="str">
        <f>VLOOKUP(medicament[[#This Row],[ID_fournisseur]],fournisseur[],2,FALSE)</f>
        <v>Bayer</v>
      </c>
    </row>
    <row r="20" spans="1:7" x14ac:dyDescent="0.3">
      <c r="A20" s="8">
        <v>1524</v>
      </c>
      <c r="B20" s="9" t="s">
        <v>2422</v>
      </c>
      <c r="C20" s="8">
        <v>675</v>
      </c>
      <c r="D20" s="8">
        <v>140</v>
      </c>
      <c r="E20" s="17">
        <v>55.99</v>
      </c>
      <c r="F20" s="8">
        <v>12</v>
      </c>
      <c r="G20" s="8" t="str">
        <f>VLOOKUP(medicament[[#This Row],[ID_fournisseur]],fournisseur[],2,FALSE)</f>
        <v>Boiron</v>
      </c>
    </row>
    <row r="21" spans="1:7" x14ac:dyDescent="0.3">
      <c r="A21" s="8">
        <v>1525</v>
      </c>
      <c r="B21" s="9" t="s">
        <v>2423</v>
      </c>
      <c r="C21" s="8">
        <v>89</v>
      </c>
      <c r="D21" s="8">
        <v>90</v>
      </c>
      <c r="E21" s="17">
        <v>80</v>
      </c>
      <c r="F21" s="8">
        <v>7</v>
      </c>
      <c r="G21" s="8" t="str">
        <f>VLOOKUP(medicament[[#This Row],[ID_fournisseur]],fournisseur[],2,FALSE)</f>
        <v>Théa</v>
      </c>
    </row>
    <row r="22" spans="1:7" x14ac:dyDescent="0.3">
      <c r="A22" s="8">
        <v>1526</v>
      </c>
      <c r="B22" s="9" t="s">
        <v>2424</v>
      </c>
      <c r="C22" s="8">
        <v>398</v>
      </c>
      <c r="D22" s="8">
        <v>100</v>
      </c>
      <c r="E22" s="17">
        <v>42</v>
      </c>
      <c r="F22" s="8">
        <v>9</v>
      </c>
      <c r="G22" s="8" t="str">
        <f>VLOOKUP(medicament[[#This Row],[ID_fournisseur]],fournisseur[],2,FALSE)</f>
        <v>LFB</v>
      </c>
    </row>
    <row r="23" spans="1:7" x14ac:dyDescent="0.3">
      <c r="A23" s="8">
        <v>1527</v>
      </c>
      <c r="B23" s="9" t="s">
        <v>2772</v>
      </c>
      <c r="C23" s="8">
        <v>500</v>
      </c>
      <c r="D23" s="8">
        <v>200</v>
      </c>
      <c r="E23" s="17">
        <v>10</v>
      </c>
      <c r="F23" s="8">
        <v>6</v>
      </c>
      <c r="G23" s="9" t="str">
        <f>VLOOKUP(medicament[[#This Row],[ID_fournisseur]],fournisseur[],2,FALSE)</f>
        <v>Bayer</v>
      </c>
    </row>
    <row r="24" spans="1:7" x14ac:dyDescent="0.3">
      <c r="A24" s="8">
        <v>1528</v>
      </c>
      <c r="B24" s="9" t="s">
        <v>2778</v>
      </c>
      <c r="C24" s="8">
        <v>300</v>
      </c>
      <c r="D24" s="8">
        <v>340</v>
      </c>
      <c r="E24" s="17">
        <v>6</v>
      </c>
      <c r="F24" s="8">
        <v>1</v>
      </c>
      <c r="G24" s="9" t="str">
        <f>VLOOKUP(medicament[[#This Row],[ID_fournisseur]],fournisseur[],2,FALSE)</f>
        <v>Sanofi</v>
      </c>
    </row>
    <row r="25" spans="1:7" x14ac:dyDescent="0.3">
      <c r="A25" s="8">
        <v>1529</v>
      </c>
      <c r="B25" s="9" t="s">
        <v>2779</v>
      </c>
      <c r="C25" s="8">
        <v>40</v>
      </c>
      <c r="D25" s="8">
        <v>50</v>
      </c>
      <c r="E25" s="17">
        <v>9</v>
      </c>
      <c r="F25" s="8">
        <v>8</v>
      </c>
      <c r="G25" s="9" t="str">
        <f>VLOOKUP(medicament[[#This Row],[ID_fournisseur]],fournisseur[],2,FALSE)</f>
        <v>Servier</v>
      </c>
    </row>
  </sheetData>
  <conditionalFormatting sqref="C2">
    <cfRule type="cellIs" dxfId="38" priority="23" operator="lessThan">
      <formula>$D$2</formula>
    </cfRule>
  </conditionalFormatting>
  <conditionalFormatting sqref="C3">
    <cfRule type="cellIs" dxfId="37" priority="22" operator="lessThan">
      <formula>$D$3</formula>
    </cfRule>
  </conditionalFormatting>
  <conditionalFormatting sqref="C4">
    <cfRule type="cellIs" dxfId="36" priority="21" operator="lessThan">
      <formula>$D$4</formula>
    </cfRule>
  </conditionalFormatting>
  <conditionalFormatting sqref="C5">
    <cfRule type="cellIs" dxfId="35" priority="20" operator="lessThan">
      <formula>$D$5</formula>
    </cfRule>
  </conditionalFormatting>
  <conditionalFormatting sqref="C6">
    <cfRule type="cellIs" dxfId="34" priority="19" operator="lessThan">
      <formula>$D$6</formula>
    </cfRule>
  </conditionalFormatting>
  <conditionalFormatting sqref="C7">
    <cfRule type="cellIs" dxfId="33" priority="18" operator="lessThan">
      <formula>$D$7</formula>
    </cfRule>
  </conditionalFormatting>
  <conditionalFormatting sqref="C8">
    <cfRule type="cellIs" dxfId="32" priority="17" operator="lessThan">
      <formula>$D$8</formula>
    </cfRule>
  </conditionalFormatting>
  <conditionalFormatting sqref="C9">
    <cfRule type="cellIs" dxfId="31" priority="16" operator="lessThan">
      <formula>$D$9</formula>
    </cfRule>
  </conditionalFormatting>
  <conditionalFormatting sqref="C10">
    <cfRule type="cellIs" dxfId="30" priority="15" operator="lessThan">
      <formula>$D$10</formula>
    </cfRule>
  </conditionalFormatting>
  <conditionalFormatting sqref="C11">
    <cfRule type="cellIs" dxfId="29" priority="14" operator="lessThan">
      <formula>$D$11</formula>
    </cfRule>
  </conditionalFormatting>
  <conditionalFormatting sqref="C12">
    <cfRule type="cellIs" dxfId="28" priority="13" operator="lessThan">
      <formula>$D$12</formula>
    </cfRule>
  </conditionalFormatting>
  <conditionalFormatting sqref="C14">
    <cfRule type="cellIs" dxfId="27" priority="12" operator="lessThan">
      <formula>$D$14</formula>
    </cfRule>
  </conditionalFormatting>
  <conditionalFormatting sqref="C15">
    <cfRule type="cellIs" dxfId="26" priority="11" operator="lessThan">
      <formula>$D$15</formula>
    </cfRule>
  </conditionalFormatting>
  <conditionalFormatting sqref="C16">
    <cfRule type="cellIs" dxfId="25" priority="10" operator="lessThan">
      <formula>$D$16</formula>
    </cfRule>
  </conditionalFormatting>
  <conditionalFormatting sqref="C17">
    <cfRule type="cellIs" dxfId="24" priority="9" operator="lessThan">
      <formula>$D$17</formula>
    </cfRule>
  </conditionalFormatting>
  <conditionalFormatting sqref="C18">
    <cfRule type="cellIs" dxfId="23" priority="8" operator="lessThan">
      <formula>$D$18</formula>
    </cfRule>
  </conditionalFormatting>
  <conditionalFormatting sqref="C19">
    <cfRule type="cellIs" dxfId="22" priority="7" operator="lessThan">
      <formula>$D$19</formula>
    </cfRule>
  </conditionalFormatting>
  <conditionalFormatting sqref="C20">
    <cfRule type="cellIs" dxfId="21" priority="6" operator="lessThan">
      <formula>$D$20</formula>
    </cfRule>
  </conditionalFormatting>
  <conditionalFormatting sqref="C21">
    <cfRule type="cellIs" dxfId="20" priority="4" operator="lessThan">
      <formula>$D$21</formula>
    </cfRule>
  </conditionalFormatting>
  <conditionalFormatting sqref="C22">
    <cfRule type="cellIs" dxfId="19" priority="3" operator="lessThan">
      <formula>$D$22</formula>
    </cfRule>
  </conditionalFormatting>
  <conditionalFormatting sqref="C24">
    <cfRule type="cellIs" dxfId="18" priority="2" operator="lessThan">
      <formula>$D$24</formula>
    </cfRule>
  </conditionalFormatting>
  <conditionalFormatting sqref="C25">
    <cfRule type="cellIs" dxfId="17" priority="1" operator="lessThan">
      <formula>$D$25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5"/>
  <dimension ref="A1:D3"/>
  <sheetViews>
    <sheetView workbookViewId="0">
      <pane ySplit="1" topLeftCell="A2" activePane="bottomLeft" state="frozen"/>
      <selection pane="bottomLeft" activeCell="B8" sqref="B8"/>
    </sheetView>
  </sheetViews>
  <sheetFormatPr baseColWidth="10" defaultRowHeight="14.4" x14ac:dyDescent="0.3"/>
  <cols>
    <col min="1" max="1" width="16.44140625" bestFit="1" customWidth="1"/>
    <col min="2" max="2" width="16.5546875" bestFit="1" customWidth="1"/>
    <col min="3" max="3" width="17.6640625" bestFit="1" customWidth="1"/>
    <col min="4" max="4" width="21.33203125" bestFit="1" customWidth="1"/>
  </cols>
  <sheetData>
    <row r="1" spans="1:4" x14ac:dyDescent="0.3">
      <c r="A1" t="s">
        <v>2716</v>
      </c>
      <c r="B1" t="s">
        <v>2400</v>
      </c>
      <c r="C1" t="s">
        <v>2760</v>
      </c>
      <c r="D1" t="s">
        <v>2761</v>
      </c>
    </row>
    <row r="2" spans="1:4" x14ac:dyDescent="0.3">
      <c r="A2">
        <v>66</v>
      </c>
      <c r="B2">
        <v>1513</v>
      </c>
      <c r="C2">
        <v>8</v>
      </c>
      <c r="D2" t="s">
        <v>2762</v>
      </c>
    </row>
    <row r="3" spans="1:4" x14ac:dyDescent="0.3">
      <c r="A3">
        <v>5</v>
      </c>
      <c r="B3">
        <v>1506</v>
      </c>
      <c r="C3">
        <v>1</v>
      </c>
      <c r="D3" t="s">
        <v>2763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9"/>
  <dimension ref="A1:B16"/>
  <sheetViews>
    <sheetView workbookViewId="0">
      <pane ySplit="1" topLeftCell="A2" activePane="bottomLeft" state="frozen"/>
      <selection pane="bottomLeft" activeCell="I19" sqref="I19"/>
    </sheetView>
  </sheetViews>
  <sheetFormatPr baseColWidth="10" defaultRowHeight="14.4" x14ac:dyDescent="0.3"/>
  <cols>
    <col min="1" max="1" width="15.44140625" bestFit="1" customWidth="1"/>
    <col min="2" max="2" width="17.6640625" bestFit="1" customWidth="1"/>
  </cols>
  <sheetData>
    <row r="1" spans="1:2" x14ac:dyDescent="0.3">
      <c r="A1" s="8" t="s">
        <v>2274</v>
      </c>
      <c r="B1" s="8" t="s">
        <v>2425</v>
      </c>
    </row>
    <row r="2" spans="1:2" x14ac:dyDescent="0.3">
      <c r="A2" s="8">
        <v>1</v>
      </c>
      <c r="B2" s="9" t="s">
        <v>2426</v>
      </c>
    </row>
    <row r="3" spans="1:2" x14ac:dyDescent="0.3">
      <c r="A3" s="8">
        <v>3</v>
      </c>
      <c r="B3" s="9" t="s">
        <v>2427</v>
      </c>
    </row>
    <row r="4" spans="1:2" x14ac:dyDescent="0.3">
      <c r="A4" s="8">
        <v>6</v>
      </c>
      <c r="B4" s="9" t="s">
        <v>2428</v>
      </c>
    </row>
    <row r="5" spans="1:2" x14ac:dyDescent="0.3">
      <c r="A5" s="8">
        <v>7</v>
      </c>
      <c r="B5" s="9" t="s">
        <v>2429</v>
      </c>
    </row>
    <row r="6" spans="1:2" x14ac:dyDescent="0.3">
      <c r="A6" s="8">
        <v>8</v>
      </c>
      <c r="B6" s="9" t="s">
        <v>2430</v>
      </c>
    </row>
    <row r="7" spans="1:2" x14ac:dyDescent="0.3">
      <c r="A7" s="8">
        <v>9</v>
      </c>
      <c r="B7" s="9" t="s">
        <v>2431</v>
      </c>
    </row>
    <row r="8" spans="1:2" x14ac:dyDescent="0.3">
      <c r="A8" s="8">
        <v>10</v>
      </c>
      <c r="B8" s="9" t="s">
        <v>2432</v>
      </c>
    </row>
    <row r="9" spans="1:2" x14ac:dyDescent="0.3">
      <c r="A9" s="8">
        <v>12</v>
      </c>
      <c r="B9" s="9" t="s">
        <v>2433</v>
      </c>
    </row>
    <row r="10" spans="1:2" x14ac:dyDescent="0.3">
      <c r="A10" s="8">
        <v>14</v>
      </c>
      <c r="B10" s="9" t="s">
        <v>2434</v>
      </c>
    </row>
    <row r="11" spans="1:2" x14ac:dyDescent="0.3">
      <c r="A11" s="8">
        <v>15</v>
      </c>
      <c r="B11" s="9" t="s">
        <v>2435</v>
      </c>
    </row>
    <row r="12" spans="1:2" x14ac:dyDescent="0.3">
      <c r="A12" s="8">
        <v>16</v>
      </c>
      <c r="B12" s="9" t="s">
        <v>2436</v>
      </c>
    </row>
    <row r="13" spans="1:2" x14ac:dyDescent="0.3">
      <c r="A13" s="8">
        <v>17</v>
      </c>
      <c r="B13" s="9" t="s">
        <v>2437</v>
      </c>
    </row>
    <row r="14" spans="1:2" x14ac:dyDescent="0.3">
      <c r="A14" s="8">
        <v>18</v>
      </c>
      <c r="B14" s="9" t="s">
        <v>2438</v>
      </c>
    </row>
    <row r="15" spans="1:2" x14ac:dyDescent="0.3">
      <c r="A15" s="8">
        <v>19</v>
      </c>
      <c r="B15" s="9" t="s">
        <v>2439</v>
      </c>
    </row>
    <row r="16" spans="1:2" x14ac:dyDescent="0.3">
      <c r="A16" s="8">
        <v>20</v>
      </c>
      <c r="B16" s="9" t="s">
        <v>2440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0"/>
  <dimension ref="A1:B275"/>
  <sheetViews>
    <sheetView workbookViewId="0">
      <pane ySplit="1" topLeftCell="A2" activePane="bottomLeft" state="frozen"/>
      <selection pane="bottomLeft" activeCell="G30" sqref="G30"/>
    </sheetView>
  </sheetViews>
  <sheetFormatPr baseColWidth="10" defaultRowHeight="14.4" x14ac:dyDescent="0.3"/>
  <cols>
    <col min="1" max="1" width="13.44140625" bestFit="1" customWidth="1"/>
    <col min="2" max="2" width="99.5546875" bestFit="1" customWidth="1"/>
  </cols>
  <sheetData>
    <row r="1" spans="1:2" x14ac:dyDescent="0.3">
      <c r="A1" s="8" t="s">
        <v>978</v>
      </c>
      <c r="B1" s="8" t="s">
        <v>2441</v>
      </c>
    </row>
    <row r="2" spans="1:2" x14ac:dyDescent="0.3">
      <c r="A2" s="8">
        <v>1</v>
      </c>
      <c r="B2" s="9" t="s">
        <v>2442</v>
      </c>
    </row>
    <row r="3" spans="1:2" x14ac:dyDescent="0.3">
      <c r="A3" s="8">
        <v>2</v>
      </c>
      <c r="B3" s="9" t="s">
        <v>2443</v>
      </c>
    </row>
    <row r="4" spans="1:2" x14ac:dyDescent="0.3">
      <c r="A4" s="8">
        <v>3</v>
      </c>
      <c r="B4" s="9" t="s">
        <v>2444</v>
      </c>
    </row>
    <row r="5" spans="1:2" x14ac:dyDescent="0.3">
      <c r="A5" s="8">
        <v>4</v>
      </c>
      <c r="B5" s="9" t="s">
        <v>2445</v>
      </c>
    </row>
    <row r="6" spans="1:2" x14ac:dyDescent="0.3">
      <c r="A6" s="8">
        <v>5</v>
      </c>
      <c r="B6" s="9" t="s">
        <v>2446</v>
      </c>
    </row>
    <row r="7" spans="1:2" x14ac:dyDescent="0.3">
      <c r="A7" s="8">
        <v>6</v>
      </c>
      <c r="B7" s="9" t="s">
        <v>2447</v>
      </c>
    </row>
    <row r="8" spans="1:2" x14ac:dyDescent="0.3">
      <c r="A8" s="8">
        <v>7</v>
      </c>
      <c r="B8" s="9" t="s">
        <v>2448</v>
      </c>
    </row>
    <row r="9" spans="1:2" x14ac:dyDescent="0.3">
      <c r="A9" s="8">
        <v>8</v>
      </c>
      <c r="B9" s="9" t="s">
        <v>2449</v>
      </c>
    </row>
    <row r="10" spans="1:2" x14ac:dyDescent="0.3">
      <c r="A10" s="8">
        <v>9</v>
      </c>
      <c r="B10" s="9" t="s">
        <v>2450</v>
      </c>
    </row>
    <row r="11" spans="1:2" x14ac:dyDescent="0.3">
      <c r="A11" s="8">
        <v>10</v>
      </c>
      <c r="B11" s="9" t="s">
        <v>2451</v>
      </c>
    </row>
    <row r="12" spans="1:2" x14ac:dyDescent="0.3">
      <c r="A12" s="8">
        <v>11</v>
      </c>
      <c r="B12" s="9" t="s">
        <v>2452</v>
      </c>
    </row>
    <row r="13" spans="1:2" x14ac:dyDescent="0.3">
      <c r="A13" s="8">
        <v>12</v>
      </c>
      <c r="B13" s="9" t="s">
        <v>2453</v>
      </c>
    </row>
    <row r="14" spans="1:2" x14ac:dyDescent="0.3">
      <c r="A14" s="8">
        <v>13</v>
      </c>
      <c r="B14" s="9" t="s">
        <v>2454</v>
      </c>
    </row>
    <row r="15" spans="1:2" x14ac:dyDescent="0.3">
      <c r="A15" s="8">
        <v>14</v>
      </c>
      <c r="B15" s="9" t="s">
        <v>2455</v>
      </c>
    </row>
    <row r="16" spans="1:2" x14ac:dyDescent="0.3">
      <c r="A16" s="8">
        <v>15</v>
      </c>
      <c r="B16" s="9" t="s">
        <v>2456</v>
      </c>
    </row>
    <row r="17" spans="1:2" x14ac:dyDescent="0.3">
      <c r="A17" s="8">
        <v>16</v>
      </c>
      <c r="B17" s="9" t="s">
        <v>2457</v>
      </c>
    </row>
    <row r="18" spans="1:2" x14ac:dyDescent="0.3">
      <c r="A18" s="8">
        <v>17</v>
      </c>
      <c r="B18" s="9" t="s">
        <v>2458</v>
      </c>
    </row>
    <row r="19" spans="1:2" x14ac:dyDescent="0.3">
      <c r="A19" s="8">
        <v>18</v>
      </c>
      <c r="B19" s="9" t="s">
        <v>2459</v>
      </c>
    </row>
    <row r="20" spans="1:2" x14ac:dyDescent="0.3">
      <c r="A20" s="8">
        <v>19</v>
      </c>
      <c r="B20" s="9" t="s">
        <v>2460</v>
      </c>
    </row>
    <row r="21" spans="1:2" x14ac:dyDescent="0.3">
      <c r="A21" s="8">
        <v>20</v>
      </c>
      <c r="B21" s="9" t="s">
        <v>2461</v>
      </c>
    </row>
    <row r="22" spans="1:2" x14ac:dyDescent="0.3">
      <c r="A22" s="8">
        <v>21</v>
      </c>
      <c r="B22" s="9" t="s">
        <v>2462</v>
      </c>
    </row>
    <row r="23" spans="1:2" x14ac:dyDescent="0.3">
      <c r="A23" s="8">
        <v>22</v>
      </c>
      <c r="B23" s="9" t="s">
        <v>2463</v>
      </c>
    </row>
    <row r="24" spans="1:2" x14ac:dyDescent="0.3">
      <c r="A24" s="8">
        <v>23</v>
      </c>
      <c r="B24" s="9" t="s">
        <v>2464</v>
      </c>
    </row>
    <row r="25" spans="1:2" x14ac:dyDescent="0.3">
      <c r="A25" s="8">
        <v>24</v>
      </c>
      <c r="B25" s="9" t="s">
        <v>2465</v>
      </c>
    </row>
    <row r="26" spans="1:2" x14ac:dyDescent="0.3">
      <c r="A26" s="8">
        <v>25</v>
      </c>
      <c r="B26" s="9" t="s">
        <v>2466</v>
      </c>
    </row>
    <row r="27" spans="1:2" x14ac:dyDescent="0.3">
      <c r="A27" s="8">
        <v>26</v>
      </c>
      <c r="B27" s="9" t="s">
        <v>2467</v>
      </c>
    </row>
    <row r="28" spans="1:2" x14ac:dyDescent="0.3">
      <c r="A28" s="8">
        <v>27</v>
      </c>
      <c r="B28" s="9" t="s">
        <v>2468</v>
      </c>
    </row>
    <row r="29" spans="1:2" x14ac:dyDescent="0.3">
      <c r="A29" s="8">
        <v>28</v>
      </c>
      <c r="B29" s="9" t="s">
        <v>2469</v>
      </c>
    </row>
    <row r="30" spans="1:2" x14ac:dyDescent="0.3">
      <c r="A30" s="8">
        <v>29</v>
      </c>
      <c r="B30" s="9" t="s">
        <v>2470</v>
      </c>
    </row>
    <row r="31" spans="1:2" x14ac:dyDescent="0.3">
      <c r="A31" s="8">
        <v>30</v>
      </c>
      <c r="B31" s="9" t="s">
        <v>2471</v>
      </c>
    </row>
    <row r="32" spans="1:2" x14ac:dyDescent="0.3">
      <c r="A32" s="8">
        <v>31</v>
      </c>
      <c r="B32" s="9" t="s">
        <v>2472</v>
      </c>
    </row>
    <row r="33" spans="1:2" x14ac:dyDescent="0.3">
      <c r="A33" s="8">
        <v>32</v>
      </c>
      <c r="B33" s="9" t="s">
        <v>2473</v>
      </c>
    </row>
    <row r="34" spans="1:2" x14ac:dyDescent="0.3">
      <c r="A34" s="8">
        <v>33</v>
      </c>
      <c r="B34" s="9" t="s">
        <v>2474</v>
      </c>
    </row>
    <row r="35" spans="1:2" x14ac:dyDescent="0.3">
      <c r="A35" s="8">
        <v>34</v>
      </c>
      <c r="B35" s="9" t="s">
        <v>2475</v>
      </c>
    </row>
    <row r="36" spans="1:2" x14ac:dyDescent="0.3">
      <c r="A36" s="8">
        <v>35</v>
      </c>
      <c r="B36" s="9" t="s">
        <v>2476</v>
      </c>
    </row>
    <row r="37" spans="1:2" x14ac:dyDescent="0.3">
      <c r="A37" s="8">
        <v>36</v>
      </c>
      <c r="B37" s="9" t="s">
        <v>2477</v>
      </c>
    </row>
    <row r="38" spans="1:2" x14ac:dyDescent="0.3">
      <c r="A38" s="8">
        <v>37</v>
      </c>
      <c r="B38" s="9" t="s">
        <v>2478</v>
      </c>
    </row>
    <row r="39" spans="1:2" x14ac:dyDescent="0.3">
      <c r="A39" s="8">
        <v>38</v>
      </c>
      <c r="B39" s="9" t="s">
        <v>2479</v>
      </c>
    </row>
    <row r="40" spans="1:2" x14ac:dyDescent="0.3">
      <c r="A40" s="8">
        <v>39</v>
      </c>
      <c r="B40" s="9" t="s">
        <v>2480</v>
      </c>
    </row>
    <row r="41" spans="1:2" x14ac:dyDescent="0.3">
      <c r="A41" s="8">
        <v>40</v>
      </c>
      <c r="B41" s="9" t="s">
        <v>2481</v>
      </c>
    </row>
    <row r="42" spans="1:2" x14ac:dyDescent="0.3">
      <c r="A42" s="8">
        <v>41</v>
      </c>
      <c r="B42" s="9" t="s">
        <v>2482</v>
      </c>
    </row>
    <row r="43" spans="1:2" x14ac:dyDescent="0.3">
      <c r="A43" s="8">
        <v>42</v>
      </c>
      <c r="B43" s="9" t="s">
        <v>2483</v>
      </c>
    </row>
    <row r="44" spans="1:2" x14ac:dyDescent="0.3">
      <c r="A44" s="8">
        <v>43</v>
      </c>
      <c r="B44" s="9" t="s">
        <v>2484</v>
      </c>
    </row>
    <row r="45" spans="1:2" x14ac:dyDescent="0.3">
      <c r="A45" s="8">
        <v>44</v>
      </c>
      <c r="B45" s="9" t="s">
        <v>2485</v>
      </c>
    </row>
    <row r="46" spans="1:2" x14ac:dyDescent="0.3">
      <c r="A46" s="8">
        <v>45</v>
      </c>
      <c r="B46" s="9" t="s">
        <v>2486</v>
      </c>
    </row>
    <row r="47" spans="1:2" x14ac:dyDescent="0.3">
      <c r="A47" s="8">
        <v>46</v>
      </c>
      <c r="B47" s="9" t="s">
        <v>2487</v>
      </c>
    </row>
    <row r="48" spans="1:2" x14ac:dyDescent="0.3">
      <c r="A48" s="8">
        <v>47</v>
      </c>
      <c r="B48" s="9" t="s">
        <v>2488</v>
      </c>
    </row>
    <row r="49" spans="1:2" x14ac:dyDescent="0.3">
      <c r="A49" s="8">
        <v>48</v>
      </c>
      <c r="B49" s="9" t="s">
        <v>2489</v>
      </c>
    </row>
    <row r="50" spans="1:2" x14ac:dyDescent="0.3">
      <c r="A50" s="8">
        <v>49</v>
      </c>
      <c r="B50" s="9" t="s">
        <v>2490</v>
      </c>
    </row>
    <row r="51" spans="1:2" x14ac:dyDescent="0.3">
      <c r="A51" s="8">
        <v>50</v>
      </c>
      <c r="B51" s="9" t="s">
        <v>2491</v>
      </c>
    </row>
    <row r="52" spans="1:2" x14ac:dyDescent="0.3">
      <c r="A52" s="8">
        <v>51</v>
      </c>
      <c r="B52" s="9" t="s">
        <v>2492</v>
      </c>
    </row>
    <row r="53" spans="1:2" x14ac:dyDescent="0.3">
      <c r="A53" s="8">
        <v>52</v>
      </c>
      <c r="B53" s="9" t="s">
        <v>2493</v>
      </c>
    </row>
    <row r="54" spans="1:2" x14ac:dyDescent="0.3">
      <c r="A54" s="8">
        <v>53</v>
      </c>
      <c r="B54" s="9" t="s">
        <v>2494</v>
      </c>
    </row>
    <row r="55" spans="1:2" x14ac:dyDescent="0.3">
      <c r="A55" s="8">
        <v>54</v>
      </c>
      <c r="B55" s="9" t="s">
        <v>2495</v>
      </c>
    </row>
    <row r="56" spans="1:2" x14ac:dyDescent="0.3">
      <c r="A56" s="8">
        <v>55</v>
      </c>
      <c r="B56" s="9" t="s">
        <v>2496</v>
      </c>
    </row>
    <row r="57" spans="1:2" x14ac:dyDescent="0.3">
      <c r="A57" s="8">
        <v>56</v>
      </c>
      <c r="B57" s="9" t="s">
        <v>2497</v>
      </c>
    </row>
    <row r="58" spans="1:2" x14ac:dyDescent="0.3">
      <c r="A58" s="8">
        <v>57</v>
      </c>
      <c r="B58" s="9" t="s">
        <v>2498</v>
      </c>
    </row>
    <row r="59" spans="1:2" x14ac:dyDescent="0.3">
      <c r="A59" s="8">
        <v>58</v>
      </c>
      <c r="B59" s="9" t="s">
        <v>2499</v>
      </c>
    </row>
    <row r="60" spans="1:2" x14ac:dyDescent="0.3">
      <c r="A60" s="8">
        <v>59</v>
      </c>
      <c r="B60" s="9" t="s">
        <v>2500</v>
      </c>
    </row>
    <row r="61" spans="1:2" x14ac:dyDescent="0.3">
      <c r="A61" s="8">
        <v>60</v>
      </c>
      <c r="B61" s="9" t="s">
        <v>2501</v>
      </c>
    </row>
    <row r="62" spans="1:2" x14ac:dyDescent="0.3">
      <c r="A62" s="8">
        <v>61</v>
      </c>
      <c r="B62" s="9" t="s">
        <v>2502</v>
      </c>
    </row>
    <row r="63" spans="1:2" x14ac:dyDescent="0.3">
      <c r="A63" s="8">
        <v>62</v>
      </c>
      <c r="B63" s="9" t="s">
        <v>2503</v>
      </c>
    </row>
    <row r="64" spans="1:2" x14ac:dyDescent="0.3">
      <c r="A64" s="8">
        <v>63</v>
      </c>
      <c r="B64" s="9" t="s">
        <v>2504</v>
      </c>
    </row>
    <row r="65" spans="1:2" x14ac:dyDescent="0.3">
      <c r="A65" s="8">
        <v>64</v>
      </c>
      <c r="B65" s="9" t="s">
        <v>2505</v>
      </c>
    </row>
    <row r="66" spans="1:2" x14ac:dyDescent="0.3">
      <c r="A66" s="8">
        <v>65</v>
      </c>
      <c r="B66" s="9" t="s">
        <v>2506</v>
      </c>
    </row>
    <row r="67" spans="1:2" x14ac:dyDescent="0.3">
      <c r="A67" s="8">
        <v>66</v>
      </c>
      <c r="B67" s="9" t="s">
        <v>2507</v>
      </c>
    </row>
    <row r="68" spans="1:2" x14ac:dyDescent="0.3">
      <c r="A68" s="8">
        <v>67</v>
      </c>
      <c r="B68" s="9" t="s">
        <v>2508</v>
      </c>
    </row>
    <row r="69" spans="1:2" x14ac:dyDescent="0.3">
      <c r="A69" s="8">
        <v>68</v>
      </c>
      <c r="B69" s="9" t="s">
        <v>2509</v>
      </c>
    </row>
    <row r="70" spans="1:2" x14ac:dyDescent="0.3">
      <c r="A70" s="8">
        <v>69</v>
      </c>
      <c r="B70" s="9" t="s">
        <v>2510</v>
      </c>
    </row>
    <row r="71" spans="1:2" x14ac:dyDescent="0.3">
      <c r="A71" s="8">
        <v>70</v>
      </c>
      <c r="B71" s="9" t="s">
        <v>2511</v>
      </c>
    </row>
    <row r="72" spans="1:2" x14ac:dyDescent="0.3">
      <c r="A72" s="8">
        <v>71</v>
      </c>
      <c r="B72" s="9" t="s">
        <v>2512</v>
      </c>
    </row>
    <row r="73" spans="1:2" x14ac:dyDescent="0.3">
      <c r="A73" s="8">
        <v>72</v>
      </c>
      <c r="B73" s="9" t="s">
        <v>2513</v>
      </c>
    </row>
    <row r="74" spans="1:2" x14ac:dyDescent="0.3">
      <c r="A74" s="8">
        <v>73</v>
      </c>
      <c r="B74" s="9" t="s">
        <v>2514</v>
      </c>
    </row>
    <row r="75" spans="1:2" x14ac:dyDescent="0.3">
      <c r="A75" s="8">
        <v>74</v>
      </c>
      <c r="B75" s="9" t="s">
        <v>2515</v>
      </c>
    </row>
    <row r="76" spans="1:2" x14ac:dyDescent="0.3">
      <c r="A76" s="8">
        <v>75</v>
      </c>
      <c r="B76" s="9" t="s">
        <v>2516</v>
      </c>
    </row>
    <row r="77" spans="1:2" x14ac:dyDescent="0.3">
      <c r="A77" s="8">
        <v>76</v>
      </c>
      <c r="B77" s="9" t="s">
        <v>2517</v>
      </c>
    </row>
    <row r="78" spans="1:2" x14ac:dyDescent="0.3">
      <c r="A78" s="8">
        <v>77</v>
      </c>
      <c r="B78" s="9" t="s">
        <v>2518</v>
      </c>
    </row>
    <row r="79" spans="1:2" x14ac:dyDescent="0.3">
      <c r="A79" s="8">
        <v>78</v>
      </c>
      <c r="B79" s="9" t="s">
        <v>2519</v>
      </c>
    </row>
    <row r="80" spans="1:2" x14ac:dyDescent="0.3">
      <c r="A80" s="8">
        <v>79</v>
      </c>
      <c r="B80" s="9" t="s">
        <v>2520</v>
      </c>
    </row>
    <row r="81" spans="1:2" x14ac:dyDescent="0.3">
      <c r="A81" s="8">
        <v>80</v>
      </c>
      <c r="B81" s="9" t="s">
        <v>2521</v>
      </c>
    </row>
    <row r="82" spans="1:2" x14ac:dyDescent="0.3">
      <c r="A82" s="8">
        <v>81</v>
      </c>
      <c r="B82" s="9" t="s">
        <v>2522</v>
      </c>
    </row>
    <row r="83" spans="1:2" x14ac:dyDescent="0.3">
      <c r="A83" s="8">
        <v>82</v>
      </c>
      <c r="B83" s="9" t="s">
        <v>2523</v>
      </c>
    </row>
    <row r="84" spans="1:2" x14ac:dyDescent="0.3">
      <c r="A84" s="8">
        <v>83</v>
      </c>
      <c r="B84" s="9" t="s">
        <v>2524</v>
      </c>
    </row>
    <row r="85" spans="1:2" x14ac:dyDescent="0.3">
      <c r="A85" s="8">
        <v>84</v>
      </c>
      <c r="B85" s="9" t="s">
        <v>2525</v>
      </c>
    </row>
    <row r="86" spans="1:2" x14ac:dyDescent="0.3">
      <c r="A86" s="8">
        <v>85</v>
      </c>
      <c r="B86" s="9" t="s">
        <v>2526</v>
      </c>
    </row>
    <row r="87" spans="1:2" x14ac:dyDescent="0.3">
      <c r="A87" s="8">
        <v>86</v>
      </c>
      <c r="B87" s="9" t="s">
        <v>2527</v>
      </c>
    </row>
    <row r="88" spans="1:2" x14ac:dyDescent="0.3">
      <c r="A88" s="8">
        <v>87</v>
      </c>
      <c r="B88" s="9" t="s">
        <v>2528</v>
      </c>
    </row>
    <row r="89" spans="1:2" x14ac:dyDescent="0.3">
      <c r="A89" s="8">
        <v>88</v>
      </c>
      <c r="B89" s="9" t="s">
        <v>2529</v>
      </c>
    </row>
    <row r="90" spans="1:2" x14ac:dyDescent="0.3">
      <c r="A90" s="8">
        <v>89</v>
      </c>
      <c r="B90" s="9" t="s">
        <v>2530</v>
      </c>
    </row>
    <row r="91" spans="1:2" x14ac:dyDescent="0.3">
      <c r="A91" s="8">
        <v>90</v>
      </c>
      <c r="B91" s="9" t="s">
        <v>2531</v>
      </c>
    </row>
    <row r="92" spans="1:2" x14ac:dyDescent="0.3">
      <c r="A92" s="8">
        <v>91</v>
      </c>
      <c r="B92" s="9" t="s">
        <v>2532</v>
      </c>
    </row>
    <row r="93" spans="1:2" x14ac:dyDescent="0.3">
      <c r="A93" s="8">
        <v>92</v>
      </c>
      <c r="B93" s="9" t="s">
        <v>2533</v>
      </c>
    </row>
    <row r="94" spans="1:2" x14ac:dyDescent="0.3">
      <c r="A94" s="8">
        <v>93</v>
      </c>
      <c r="B94" s="9" t="s">
        <v>2534</v>
      </c>
    </row>
    <row r="95" spans="1:2" x14ac:dyDescent="0.3">
      <c r="A95" s="8">
        <v>94</v>
      </c>
      <c r="B95" s="9" t="s">
        <v>2535</v>
      </c>
    </row>
    <row r="96" spans="1:2" x14ac:dyDescent="0.3">
      <c r="A96" s="8">
        <v>95</v>
      </c>
      <c r="B96" s="9" t="s">
        <v>2536</v>
      </c>
    </row>
    <row r="97" spans="1:2" x14ac:dyDescent="0.3">
      <c r="A97" s="8">
        <v>96</v>
      </c>
      <c r="B97" s="9" t="s">
        <v>2537</v>
      </c>
    </row>
    <row r="98" spans="1:2" x14ac:dyDescent="0.3">
      <c r="A98" s="8">
        <v>97</v>
      </c>
      <c r="B98" s="9" t="s">
        <v>2538</v>
      </c>
    </row>
    <row r="99" spans="1:2" x14ac:dyDescent="0.3">
      <c r="A99" s="8">
        <v>98</v>
      </c>
      <c r="B99" s="9" t="s">
        <v>2539</v>
      </c>
    </row>
    <row r="100" spans="1:2" x14ac:dyDescent="0.3">
      <c r="A100" s="8">
        <v>99</v>
      </c>
      <c r="B100" s="9" t="s">
        <v>2540</v>
      </c>
    </row>
    <row r="101" spans="1:2" x14ac:dyDescent="0.3">
      <c r="A101" s="8">
        <v>100</v>
      </c>
      <c r="B101" s="9" t="s">
        <v>2541</v>
      </c>
    </row>
    <row r="102" spans="1:2" x14ac:dyDescent="0.3">
      <c r="A102" s="8">
        <v>101</v>
      </c>
      <c r="B102" s="9" t="s">
        <v>2542</v>
      </c>
    </row>
    <row r="103" spans="1:2" x14ac:dyDescent="0.3">
      <c r="A103" s="8">
        <v>102</v>
      </c>
      <c r="B103" s="9" t="s">
        <v>2543</v>
      </c>
    </row>
    <row r="104" spans="1:2" x14ac:dyDescent="0.3">
      <c r="A104" s="8">
        <v>103</v>
      </c>
      <c r="B104" s="9" t="s">
        <v>2544</v>
      </c>
    </row>
    <row r="105" spans="1:2" x14ac:dyDescent="0.3">
      <c r="A105" s="8">
        <v>104</v>
      </c>
      <c r="B105" s="9" t="s">
        <v>2545</v>
      </c>
    </row>
    <row r="106" spans="1:2" x14ac:dyDescent="0.3">
      <c r="A106" s="8">
        <v>105</v>
      </c>
      <c r="B106" s="9" t="s">
        <v>2546</v>
      </c>
    </row>
    <row r="107" spans="1:2" x14ac:dyDescent="0.3">
      <c r="A107" s="8">
        <v>106</v>
      </c>
      <c r="B107" s="9" t="s">
        <v>2547</v>
      </c>
    </row>
    <row r="108" spans="1:2" x14ac:dyDescent="0.3">
      <c r="A108" s="8">
        <v>107</v>
      </c>
      <c r="B108" s="9" t="s">
        <v>2548</v>
      </c>
    </row>
    <row r="109" spans="1:2" x14ac:dyDescent="0.3">
      <c r="A109" s="8">
        <v>108</v>
      </c>
      <c r="B109" s="9" t="s">
        <v>2549</v>
      </c>
    </row>
    <row r="110" spans="1:2" x14ac:dyDescent="0.3">
      <c r="A110" s="8">
        <v>109</v>
      </c>
      <c r="B110" s="9" t="s">
        <v>2550</v>
      </c>
    </row>
    <row r="111" spans="1:2" x14ac:dyDescent="0.3">
      <c r="A111" s="8">
        <v>110</v>
      </c>
      <c r="B111" s="9" t="s">
        <v>2551</v>
      </c>
    </row>
    <row r="112" spans="1:2" x14ac:dyDescent="0.3">
      <c r="A112" s="8">
        <v>111</v>
      </c>
      <c r="B112" s="9" t="s">
        <v>2552</v>
      </c>
    </row>
    <row r="113" spans="1:2" x14ac:dyDescent="0.3">
      <c r="A113" s="8">
        <v>112</v>
      </c>
      <c r="B113" s="9" t="s">
        <v>2553</v>
      </c>
    </row>
    <row r="114" spans="1:2" x14ac:dyDescent="0.3">
      <c r="A114" s="8">
        <v>113</v>
      </c>
      <c r="B114" s="9" t="s">
        <v>2554</v>
      </c>
    </row>
    <row r="115" spans="1:2" x14ac:dyDescent="0.3">
      <c r="A115" s="8">
        <v>114</v>
      </c>
      <c r="B115" s="9" t="s">
        <v>2555</v>
      </c>
    </row>
    <row r="116" spans="1:2" x14ac:dyDescent="0.3">
      <c r="A116" s="8">
        <v>115</v>
      </c>
      <c r="B116" s="9" t="s">
        <v>2556</v>
      </c>
    </row>
    <row r="117" spans="1:2" x14ac:dyDescent="0.3">
      <c r="A117" s="8">
        <v>116</v>
      </c>
      <c r="B117" s="9" t="s">
        <v>2557</v>
      </c>
    </row>
    <row r="118" spans="1:2" x14ac:dyDescent="0.3">
      <c r="A118" s="8">
        <v>117</v>
      </c>
      <c r="B118" s="9" t="s">
        <v>2558</v>
      </c>
    </row>
    <row r="119" spans="1:2" x14ac:dyDescent="0.3">
      <c r="A119" s="8">
        <v>118</v>
      </c>
      <c r="B119" s="9" t="s">
        <v>2559</v>
      </c>
    </row>
    <row r="120" spans="1:2" x14ac:dyDescent="0.3">
      <c r="A120" s="8">
        <v>119</v>
      </c>
      <c r="B120" s="9" t="s">
        <v>2560</v>
      </c>
    </row>
    <row r="121" spans="1:2" x14ac:dyDescent="0.3">
      <c r="A121" s="8">
        <v>120</v>
      </c>
      <c r="B121" s="9" t="s">
        <v>2561</v>
      </c>
    </row>
    <row r="122" spans="1:2" x14ac:dyDescent="0.3">
      <c r="A122" s="8">
        <v>121</v>
      </c>
      <c r="B122" s="9" t="s">
        <v>2562</v>
      </c>
    </row>
    <row r="123" spans="1:2" x14ac:dyDescent="0.3">
      <c r="A123" s="8">
        <v>122</v>
      </c>
      <c r="B123" s="9" t="s">
        <v>2563</v>
      </c>
    </row>
    <row r="124" spans="1:2" x14ac:dyDescent="0.3">
      <c r="A124" s="8">
        <v>123</v>
      </c>
      <c r="B124" s="9" t="s">
        <v>2564</v>
      </c>
    </row>
    <row r="125" spans="1:2" x14ac:dyDescent="0.3">
      <c r="A125" s="8">
        <v>124</v>
      </c>
      <c r="B125" s="9" t="s">
        <v>2565</v>
      </c>
    </row>
    <row r="126" spans="1:2" x14ac:dyDescent="0.3">
      <c r="A126" s="8">
        <v>125</v>
      </c>
      <c r="B126" s="9" t="s">
        <v>2566</v>
      </c>
    </row>
    <row r="127" spans="1:2" x14ac:dyDescent="0.3">
      <c r="A127" s="8">
        <v>126</v>
      </c>
      <c r="B127" s="9" t="s">
        <v>2567</v>
      </c>
    </row>
    <row r="128" spans="1:2" x14ac:dyDescent="0.3">
      <c r="A128" s="8">
        <v>127</v>
      </c>
      <c r="B128" s="9" t="s">
        <v>2568</v>
      </c>
    </row>
    <row r="129" spans="1:2" x14ac:dyDescent="0.3">
      <c r="A129" s="8">
        <v>128</v>
      </c>
      <c r="B129" s="9" t="s">
        <v>2569</v>
      </c>
    </row>
    <row r="130" spans="1:2" x14ac:dyDescent="0.3">
      <c r="A130" s="8">
        <v>129</v>
      </c>
      <c r="B130" s="9" t="s">
        <v>2570</v>
      </c>
    </row>
    <row r="131" spans="1:2" x14ac:dyDescent="0.3">
      <c r="A131" s="8">
        <v>130</v>
      </c>
      <c r="B131" s="9" t="s">
        <v>2571</v>
      </c>
    </row>
    <row r="132" spans="1:2" x14ac:dyDescent="0.3">
      <c r="A132" s="8">
        <v>131</v>
      </c>
      <c r="B132" s="9" t="s">
        <v>2572</v>
      </c>
    </row>
    <row r="133" spans="1:2" x14ac:dyDescent="0.3">
      <c r="A133" s="8">
        <v>132</v>
      </c>
      <c r="B133" s="9" t="s">
        <v>2573</v>
      </c>
    </row>
    <row r="134" spans="1:2" x14ac:dyDescent="0.3">
      <c r="A134" s="8">
        <v>133</v>
      </c>
      <c r="B134" s="9" t="s">
        <v>2574</v>
      </c>
    </row>
    <row r="135" spans="1:2" x14ac:dyDescent="0.3">
      <c r="A135" s="8">
        <v>134</v>
      </c>
      <c r="B135" s="9" t="s">
        <v>2575</v>
      </c>
    </row>
    <row r="136" spans="1:2" x14ac:dyDescent="0.3">
      <c r="A136" s="8">
        <v>135</v>
      </c>
      <c r="B136" s="9" t="s">
        <v>2576</v>
      </c>
    </row>
    <row r="137" spans="1:2" x14ac:dyDescent="0.3">
      <c r="A137" s="8">
        <v>136</v>
      </c>
      <c r="B137" s="9" t="s">
        <v>2577</v>
      </c>
    </row>
    <row r="138" spans="1:2" x14ac:dyDescent="0.3">
      <c r="A138" s="8">
        <v>137</v>
      </c>
      <c r="B138" s="9" t="s">
        <v>2578</v>
      </c>
    </row>
    <row r="139" spans="1:2" x14ac:dyDescent="0.3">
      <c r="A139" s="8">
        <v>138</v>
      </c>
      <c r="B139" s="9" t="s">
        <v>2579</v>
      </c>
    </row>
    <row r="140" spans="1:2" x14ac:dyDescent="0.3">
      <c r="A140" s="8">
        <v>139</v>
      </c>
      <c r="B140" s="9" t="s">
        <v>2580</v>
      </c>
    </row>
    <row r="141" spans="1:2" x14ac:dyDescent="0.3">
      <c r="A141" s="8">
        <v>140</v>
      </c>
      <c r="B141" s="9" t="s">
        <v>2581</v>
      </c>
    </row>
    <row r="142" spans="1:2" x14ac:dyDescent="0.3">
      <c r="A142" s="8">
        <v>141</v>
      </c>
      <c r="B142" s="9" t="s">
        <v>2582</v>
      </c>
    </row>
    <row r="143" spans="1:2" x14ac:dyDescent="0.3">
      <c r="A143" s="8">
        <v>142</v>
      </c>
      <c r="B143" s="9" t="s">
        <v>2583</v>
      </c>
    </row>
    <row r="144" spans="1:2" x14ac:dyDescent="0.3">
      <c r="A144" s="8">
        <v>143</v>
      </c>
      <c r="B144" s="9" t="s">
        <v>2584</v>
      </c>
    </row>
    <row r="145" spans="1:2" x14ac:dyDescent="0.3">
      <c r="A145" s="8">
        <v>144</v>
      </c>
      <c r="B145" s="9" t="s">
        <v>2585</v>
      </c>
    </row>
    <row r="146" spans="1:2" x14ac:dyDescent="0.3">
      <c r="A146" s="8">
        <v>145</v>
      </c>
      <c r="B146" s="9" t="s">
        <v>2586</v>
      </c>
    </row>
    <row r="147" spans="1:2" x14ac:dyDescent="0.3">
      <c r="A147" s="8">
        <v>146</v>
      </c>
      <c r="B147" s="9" t="s">
        <v>2587</v>
      </c>
    </row>
    <row r="148" spans="1:2" x14ac:dyDescent="0.3">
      <c r="A148" s="8">
        <v>147</v>
      </c>
      <c r="B148" s="9" t="s">
        <v>2588</v>
      </c>
    </row>
    <row r="149" spans="1:2" x14ac:dyDescent="0.3">
      <c r="A149" s="8">
        <v>148</v>
      </c>
      <c r="B149" s="9" t="s">
        <v>2589</v>
      </c>
    </row>
    <row r="150" spans="1:2" x14ac:dyDescent="0.3">
      <c r="A150" s="8">
        <v>149</v>
      </c>
      <c r="B150" s="9" t="s">
        <v>2590</v>
      </c>
    </row>
    <row r="151" spans="1:2" x14ac:dyDescent="0.3">
      <c r="A151" s="8">
        <v>150</v>
      </c>
      <c r="B151" s="9" t="s">
        <v>2591</v>
      </c>
    </row>
    <row r="152" spans="1:2" x14ac:dyDescent="0.3">
      <c r="A152" s="8">
        <v>151</v>
      </c>
      <c r="B152" s="9" t="s">
        <v>2592</v>
      </c>
    </row>
    <row r="153" spans="1:2" x14ac:dyDescent="0.3">
      <c r="A153" s="8">
        <v>152</v>
      </c>
      <c r="B153" s="9" t="s">
        <v>2593</v>
      </c>
    </row>
    <row r="154" spans="1:2" x14ac:dyDescent="0.3">
      <c r="A154" s="8">
        <v>153</v>
      </c>
      <c r="B154" s="9" t="s">
        <v>2594</v>
      </c>
    </row>
    <row r="155" spans="1:2" x14ac:dyDescent="0.3">
      <c r="A155" s="8">
        <v>154</v>
      </c>
      <c r="B155" s="9" t="s">
        <v>2595</v>
      </c>
    </row>
    <row r="156" spans="1:2" x14ac:dyDescent="0.3">
      <c r="A156" s="8">
        <v>155</v>
      </c>
      <c r="B156" s="9" t="s">
        <v>2596</v>
      </c>
    </row>
    <row r="157" spans="1:2" x14ac:dyDescent="0.3">
      <c r="A157" s="8">
        <v>156</v>
      </c>
      <c r="B157" s="9" t="s">
        <v>2597</v>
      </c>
    </row>
    <row r="158" spans="1:2" x14ac:dyDescent="0.3">
      <c r="A158" s="8">
        <v>157</v>
      </c>
      <c r="B158" s="9" t="s">
        <v>2598</v>
      </c>
    </row>
    <row r="159" spans="1:2" x14ac:dyDescent="0.3">
      <c r="A159" s="8">
        <v>158</v>
      </c>
      <c r="B159" s="9" t="s">
        <v>2599</v>
      </c>
    </row>
    <row r="160" spans="1:2" x14ac:dyDescent="0.3">
      <c r="A160" s="8">
        <v>159</v>
      </c>
      <c r="B160" s="9" t="s">
        <v>2600</v>
      </c>
    </row>
    <row r="161" spans="1:2" x14ac:dyDescent="0.3">
      <c r="A161" s="8">
        <v>160</v>
      </c>
      <c r="B161" s="9" t="s">
        <v>2601</v>
      </c>
    </row>
    <row r="162" spans="1:2" x14ac:dyDescent="0.3">
      <c r="A162" s="8">
        <v>161</v>
      </c>
      <c r="B162" s="9" t="s">
        <v>2602</v>
      </c>
    </row>
    <row r="163" spans="1:2" x14ac:dyDescent="0.3">
      <c r="A163" s="8">
        <v>162</v>
      </c>
      <c r="B163" s="9" t="s">
        <v>2603</v>
      </c>
    </row>
    <row r="164" spans="1:2" x14ac:dyDescent="0.3">
      <c r="A164" s="8">
        <v>163</v>
      </c>
      <c r="B164" s="9" t="s">
        <v>2604</v>
      </c>
    </row>
    <row r="165" spans="1:2" x14ac:dyDescent="0.3">
      <c r="A165" s="8">
        <v>164</v>
      </c>
      <c r="B165" s="9" t="s">
        <v>2605</v>
      </c>
    </row>
    <row r="166" spans="1:2" x14ac:dyDescent="0.3">
      <c r="A166" s="8">
        <v>165</v>
      </c>
      <c r="B166" s="9" t="s">
        <v>2606</v>
      </c>
    </row>
    <row r="167" spans="1:2" x14ac:dyDescent="0.3">
      <c r="A167" s="8">
        <v>166</v>
      </c>
      <c r="B167" s="9" t="s">
        <v>2607</v>
      </c>
    </row>
    <row r="168" spans="1:2" x14ac:dyDescent="0.3">
      <c r="A168" s="8">
        <v>167</v>
      </c>
      <c r="B168" s="9" t="s">
        <v>2608</v>
      </c>
    </row>
    <row r="169" spans="1:2" x14ac:dyDescent="0.3">
      <c r="A169" s="8">
        <v>168</v>
      </c>
      <c r="B169" s="9" t="s">
        <v>2609</v>
      </c>
    </row>
    <row r="170" spans="1:2" x14ac:dyDescent="0.3">
      <c r="A170" s="8">
        <v>169</v>
      </c>
      <c r="B170" s="9" t="s">
        <v>2610</v>
      </c>
    </row>
    <row r="171" spans="1:2" x14ac:dyDescent="0.3">
      <c r="A171" s="8">
        <v>170</v>
      </c>
      <c r="B171" s="9" t="s">
        <v>2611</v>
      </c>
    </row>
    <row r="172" spans="1:2" x14ac:dyDescent="0.3">
      <c r="A172" s="8">
        <v>171</v>
      </c>
      <c r="B172" s="9" t="s">
        <v>2612</v>
      </c>
    </row>
    <row r="173" spans="1:2" x14ac:dyDescent="0.3">
      <c r="A173" s="8">
        <v>172</v>
      </c>
      <c r="B173" s="9" t="s">
        <v>2613</v>
      </c>
    </row>
    <row r="174" spans="1:2" x14ac:dyDescent="0.3">
      <c r="A174" s="8">
        <v>173</v>
      </c>
      <c r="B174" s="9" t="s">
        <v>2614</v>
      </c>
    </row>
    <row r="175" spans="1:2" x14ac:dyDescent="0.3">
      <c r="A175" s="8">
        <v>174</v>
      </c>
      <c r="B175" s="9" t="s">
        <v>2615</v>
      </c>
    </row>
    <row r="176" spans="1:2" x14ac:dyDescent="0.3">
      <c r="A176" s="8">
        <v>175</v>
      </c>
      <c r="B176" s="9" t="s">
        <v>2616</v>
      </c>
    </row>
    <row r="177" spans="1:2" x14ac:dyDescent="0.3">
      <c r="A177" s="8">
        <v>176</v>
      </c>
      <c r="B177" s="9" t="s">
        <v>2617</v>
      </c>
    </row>
    <row r="178" spans="1:2" x14ac:dyDescent="0.3">
      <c r="A178" s="8">
        <v>177</v>
      </c>
      <c r="B178" s="9" t="s">
        <v>2618</v>
      </c>
    </row>
    <row r="179" spans="1:2" x14ac:dyDescent="0.3">
      <c r="A179" s="8">
        <v>178</v>
      </c>
      <c r="B179" s="9" t="s">
        <v>2619</v>
      </c>
    </row>
    <row r="180" spans="1:2" x14ac:dyDescent="0.3">
      <c r="A180" s="8">
        <v>179</v>
      </c>
      <c r="B180" s="9" t="s">
        <v>2620</v>
      </c>
    </row>
    <row r="181" spans="1:2" x14ac:dyDescent="0.3">
      <c r="A181" s="8">
        <v>180</v>
      </c>
      <c r="B181" s="9" t="s">
        <v>2621</v>
      </c>
    </row>
    <row r="182" spans="1:2" x14ac:dyDescent="0.3">
      <c r="A182" s="8">
        <v>181</v>
      </c>
      <c r="B182" s="9" t="s">
        <v>2622</v>
      </c>
    </row>
    <row r="183" spans="1:2" x14ac:dyDescent="0.3">
      <c r="A183" s="8">
        <v>182</v>
      </c>
      <c r="B183" s="9" t="s">
        <v>2623</v>
      </c>
    </row>
    <row r="184" spans="1:2" x14ac:dyDescent="0.3">
      <c r="A184" s="8">
        <v>183</v>
      </c>
      <c r="B184" s="9" t="s">
        <v>2624</v>
      </c>
    </row>
    <row r="185" spans="1:2" x14ac:dyDescent="0.3">
      <c r="A185" s="8">
        <v>184</v>
      </c>
      <c r="B185" s="9" t="s">
        <v>2625</v>
      </c>
    </row>
    <row r="186" spans="1:2" x14ac:dyDescent="0.3">
      <c r="A186" s="8">
        <v>185</v>
      </c>
      <c r="B186" s="9" t="s">
        <v>2626</v>
      </c>
    </row>
    <row r="187" spans="1:2" x14ac:dyDescent="0.3">
      <c r="A187" s="8">
        <v>186</v>
      </c>
      <c r="B187" s="9" t="s">
        <v>2627</v>
      </c>
    </row>
    <row r="188" spans="1:2" x14ac:dyDescent="0.3">
      <c r="A188" s="8">
        <v>187</v>
      </c>
      <c r="B188" s="9" t="s">
        <v>2628</v>
      </c>
    </row>
    <row r="189" spans="1:2" x14ac:dyDescent="0.3">
      <c r="A189" s="8">
        <v>188</v>
      </c>
      <c r="B189" s="9" t="s">
        <v>2629</v>
      </c>
    </row>
    <row r="190" spans="1:2" x14ac:dyDescent="0.3">
      <c r="A190" s="8">
        <v>189</v>
      </c>
      <c r="B190" s="9" t="s">
        <v>2630</v>
      </c>
    </row>
    <row r="191" spans="1:2" x14ac:dyDescent="0.3">
      <c r="A191" s="8">
        <v>190</v>
      </c>
      <c r="B191" s="9" t="s">
        <v>2631</v>
      </c>
    </row>
    <row r="192" spans="1:2" x14ac:dyDescent="0.3">
      <c r="A192" s="8">
        <v>191</v>
      </c>
      <c r="B192" s="9" t="s">
        <v>2632</v>
      </c>
    </row>
    <row r="193" spans="1:2" x14ac:dyDescent="0.3">
      <c r="A193" s="8">
        <v>192</v>
      </c>
      <c r="B193" s="9" t="s">
        <v>2633</v>
      </c>
    </row>
    <row r="194" spans="1:2" x14ac:dyDescent="0.3">
      <c r="A194" s="8">
        <v>193</v>
      </c>
      <c r="B194" s="9" t="s">
        <v>2634</v>
      </c>
    </row>
    <row r="195" spans="1:2" x14ac:dyDescent="0.3">
      <c r="A195" s="8">
        <v>194</v>
      </c>
      <c r="B195" s="9" t="s">
        <v>2635</v>
      </c>
    </row>
    <row r="196" spans="1:2" x14ac:dyDescent="0.3">
      <c r="A196" s="8">
        <v>195</v>
      </c>
      <c r="B196" s="9" t="s">
        <v>2636</v>
      </c>
    </row>
    <row r="197" spans="1:2" x14ac:dyDescent="0.3">
      <c r="A197" s="8">
        <v>196</v>
      </c>
      <c r="B197" s="9" t="s">
        <v>2637</v>
      </c>
    </row>
    <row r="198" spans="1:2" x14ac:dyDescent="0.3">
      <c r="A198" s="8">
        <v>197</v>
      </c>
      <c r="B198" s="9" t="s">
        <v>2638</v>
      </c>
    </row>
    <row r="199" spans="1:2" x14ac:dyDescent="0.3">
      <c r="A199" s="8">
        <v>198</v>
      </c>
      <c r="B199" s="9" t="s">
        <v>2639</v>
      </c>
    </row>
    <row r="200" spans="1:2" x14ac:dyDescent="0.3">
      <c r="A200" s="8">
        <v>199</v>
      </c>
      <c r="B200" s="9" t="s">
        <v>2640</v>
      </c>
    </row>
    <row r="201" spans="1:2" x14ac:dyDescent="0.3">
      <c r="A201" s="8">
        <v>200</v>
      </c>
      <c r="B201" s="9" t="s">
        <v>2641</v>
      </c>
    </row>
    <row r="202" spans="1:2" x14ac:dyDescent="0.3">
      <c r="A202" s="8">
        <v>201</v>
      </c>
      <c r="B202" s="9" t="s">
        <v>2642</v>
      </c>
    </row>
    <row r="203" spans="1:2" x14ac:dyDescent="0.3">
      <c r="A203" s="8">
        <v>202</v>
      </c>
      <c r="B203" s="9" t="s">
        <v>2643</v>
      </c>
    </row>
    <row r="204" spans="1:2" x14ac:dyDescent="0.3">
      <c r="A204" s="8">
        <v>203</v>
      </c>
      <c r="B204" s="9" t="s">
        <v>2644</v>
      </c>
    </row>
    <row r="205" spans="1:2" x14ac:dyDescent="0.3">
      <c r="A205" s="8">
        <v>204</v>
      </c>
      <c r="B205" s="9" t="s">
        <v>2645</v>
      </c>
    </row>
    <row r="206" spans="1:2" x14ac:dyDescent="0.3">
      <c r="A206" s="8">
        <v>205</v>
      </c>
      <c r="B206" s="9" t="s">
        <v>2646</v>
      </c>
    </row>
    <row r="207" spans="1:2" x14ac:dyDescent="0.3">
      <c r="A207" s="8">
        <v>206</v>
      </c>
      <c r="B207" s="9" t="s">
        <v>2647</v>
      </c>
    </row>
    <row r="208" spans="1:2" x14ac:dyDescent="0.3">
      <c r="A208" s="8">
        <v>207</v>
      </c>
      <c r="B208" s="9" t="s">
        <v>2648</v>
      </c>
    </row>
    <row r="209" spans="1:2" x14ac:dyDescent="0.3">
      <c r="A209" s="8">
        <v>208</v>
      </c>
      <c r="B209" s="9" t="s">
        <v>2649</v>
      </c>
    </row>
    <row r="210" spans="1:2" x14ac:dyDescent="0.3">
      <c r="A210" s="8">
        <v>209</v>
      </c>
      <c r="B210" s="9" t="s">
        <v>2650</v>
      </c>
    </row>
    <row r="211" spans="1:2" x14ac:dyDescent="0.3">
      <c r="A211" s="8">
        <v>210</v>
      </c>
      <c r="B211" s="9" t="s">
        <v>2651</v>
      </c>
    </row>
    <row r="212" spans="1:2" x14ac:dyDescent="0.3">
      <c r="A212" s="8">
        <v>211</v>
      </c>
      <c r="B212" s="9" t="s">
        <v>2652</v>
      </c>
    </row>
    <row r="213" spans="1:2" x14ac:dyDescent="0.3">
      <c r="A213" s="8">
        <v>212</v>
      </c>
      <c r="B213" s="9" t="s">
        <v>2653</v>
      </c>
    </row>
    <row r="214" spans="1:2" x14ac:dyDescent="0.3">
      <c r="A214" s="8">
        <v>213</v>
      </c>
      <c r="B214" s="9" t="s">
        <v>2654</v>
      </c>
    </row>
    <row r="215" spans="1:2" x14ac:dyDescent="0.3">
      <c r="A215" s="8">
        <v>214</v>
      </c>
      <c r="B215" s="9" t="s">
        <v>2655</v>
      </c>
    </row>
    <row r="216" spans="1:2" x14ac:dyDescent="0.3">
      <c r="A216" s="8">
        <v>215</v>
      </c>
      <c r="B216" s="9" t="s">
        <v>2656</v>
      </c>
    </row>
    <row r="217" spans="1:2" x14ac:dyDescent="0.3">
      <c r="A217" s="8">
        <v>216</v>
      </c>
      <c r="B217" s="9" t="s">
        <v>2657</v>
      </c>
    </row>
    <row r="218" spans="1:2" x14ac:dyDescent="0.3">
      <c r="A218" s="8">
        <v>217</v>
      </c>
      <c r="B218" s="9" t="s">
        <v>2658</v>
      </c>
    </row>
    <row r="219" spans="1:2" x14ac:dyDescent="0.3">
      <c r="A219" s="8">
        <v>218</v>
      </c>
      <c r="B219" s="9" t="s">
        <v>2659</v>
      </c>
    </row>
    <row r="220" spans="1:2" x14ac:dyDescent="0.3">
      <c r="A220" s="8">
        <v>219</v>
      </c>
      <c r="B220" s="9" t="s">
        <v>2660</v>
      </c>
    </row>
    <row r="221" spans="1:2" x14ac:dyDescent="0.3">
      <c r="A221" s="8">
        <v>220</v>
      </c>
      <c r="B221" s="9" t="s">
        <v>2661</v>
      </c>
    </row>
    <row r="222" spans="1:2" x14ac:dyDescent="0.3">
      <c r="A222" s="8">
        <v>221</v>
      </c>
      <c r="B222" s="9" t="s">
        <v>2662</v>
      </c>
    </row>
    <row r="223" spans="1:2" x14ac:dyDescent="0.3">
      <c r="A223" s="8">
        <v>222</v>
      </c>
      <c r="B223" s="9" t="s">
        <v>2663</v>
      </c>
    </row>
    <row r="224" spans="1:2" x14ac:dyDescent="0.3">
      <c r="A224" s="8">
        <v>223</v>
      </c>
      <c r="B224" s="9" t="s">
        <v>2664</v>
      </c>
    </row>
    <row r="225" spans="1:2" x14ac:dyDescent="0.3">
      <c r="A225" s="8">
        <v>224</v>
      </c>
      <c r="B225" s="9" t="s">
        <v>2665</v>
      </c>
    </row>
    <row r="226" spans="1:2" x14ac:dyDescent="0.3">
      <c r="A226" s="8">
        <v>225</v>
      </c>
      <c r="B226" s="9" t="s">
        <v>2666</v>
      </c>
    </row>
    <row r="227" spans="1:2" x14ac:dyDescent="0.3">
      <c r="A227" s="8">
        <v>226</v>
      </c>
      <c r="B227" s="9" t="s">
        <v>2667</v>
      </c>
    </row>
    <row r="228" spans="1:2" x14ac:dyDescent="0.3">
      <c r="A228" s="8">
        <v>227</v>
      </c>
      <c r="B228" s="9" t="s">
        <v>2668</v>
      </c>
    </row>
    <row r="229" spans="1:2" x14ac:dyDescent="0.3">
      <c r="A229" s="8">
        <v>228</v>
      </c>
      <c r="B229" s="9" t="s">
        <v>2669</v>
      </c>
    </row>
    <row r="230" spans="1:2" x14ac:dyDescent="0.3">
      <c r="A230" s="8">
        <v>229</v>
      </c>
      <c r="B230" s="9" t="s">
        <v>2670</v>
      </c>
    </row>
    <row r="231" spans="1:2" x14ac:dyDescent="0.3">
      <c r="A231" s="8">
        <v>230</v>
      </c>
      <c r="B231" s="9" t="s">
        <v>2671</v>
      </c>
    </row>
    <row r="232" spans="1:2" x14ac:dyDescent="0.3">
      <c r="A232" s="8">
        <v>231</v>
      </c>
      <c r="B232" s="9" t="s">
        <v>2672</v>
      </c>
    </row>
    <row r="233" spans="1:2" x14ac:dyDescent="0.3">
      <c r="A233" s="8">
        <v>232</v>
      </c>
      <c r="B233" s="9" t="s">
        <v>2673</v>
      </c>
    </row>
    <row r="234" spans="1:2" x14ac:dyDescent="0.3">
      <c r="A234" s="8">
        <v>233</v>
      </c>
      <c r="B234" s="9" t="s">
        <v>2674</v>
      </c>
    </row>
    <row r="235" spans="1:2" x14ac:dyDescent="0.3">
      <c r="A235" s="8">
        <v>234</v>
      </c>
      <c r="B235" s="9" t="s">
        <v>2675</v>
      </c>
    </row>
    <row r="236" spans="1:2" x14ac:dyDescent="0.3">
      <c r="A236" s="8">
        <v>235</v>
      </c>
      <c r="B236" s="9" t="s">
        <v>2676</v>
      </c>
    </row>
    <row r="237" spans="1:2" x14ac:dyDescent="0.3">
      <c r="A237" s="8">
        <v>236</v>
      </c>
      <c r="B237" s="9" t="s">
        <v>2677</v>
      </c>
    </row>
    <row r="238" spans="1:2" x14ac:dyDescent="0.3">
      <c r="A238" s="8">
        <v>237</v>
      </c>
      <c r="B238" s="9" t="s">
        <v>2678</v>
      </c>
    </row>
    <row r="239" spans="1:2" x14ac:dyDescent="0.3">
      <c r="A239" s="8">
        <v>238</v>
      </c>
      <c r="B239" s="9" t="s">
        <v>2679</v>
      </c>
    </row>
    <row r="240" spans="1:2" x14ac:dyDescent="0.3">
      <c r="A240" s="8">
        <v>239</v>
      </c>
      <c r="B240" s="9" t="s">
        <v>2680</v>
      </c>
    </row>
    <row r="241" spans="1:2" x14ac:dyDescent="0.3">
      <c r="A241" s="8">
        <v>240</v>
      </c>
      <c r="B241" s="9" t="s">
        <v>2681</v>
      </c>
    </row>
    <row r="242" spans="1:2" x14ac:dyDescent="0.3">
      <c r="A242" s="8">
        <v>241</v>
      </c>
      <c r="B242" s="9" t="s">
        <v>2682</v>
      </c>
    </row>
    <row r="243" spans="1:2" x14ac:dyDescent="0.3">
      <c r="A243" s="8">
        <v>242</v>
      </c>
      <c r="B243" s="9" t="s">
        <v>2683</v>
      </c>
    </row>
    <row r="244" spans="1:2" x14ac:dyDescent="0.3">
      <c r="A244" s="8">
        <v>243</v>
      </c>
      <c r="B244" s="9" t="s">
        <v>2684</v>
      </c>
    </row>
    <row r="245" spans="1:2" x14ac:dyDescent="0.3">
      <c r="A245" s="8">
        <v>244</v>
      </c>
      <c r="B245" s="9" t="s">
        <v>2685</v>
      </c>
    </row>
    <row r="246" spans="1:2" x14ac:dyDescent="0.3">
      <c r="A246" s="8">
        <v>245</v>
      </c>
      <c r="B246" s="9" t="s">
        <v>2686</v>
      </c>
    </row>
    <row r="247" spans="1:2" x14ac:dyDescent="0.3">
      <c r="A247" s="8">
        <v>246</v>
      </c>
      <c r="B247" s="9" t="s">
        <v>2687</v>
      </c>
    </row>
    <row r="248" spans="1:2" x14ac:dyDescent="0.3">
      <c r="A248" s="8">
        <v>247</v>
      </c>
      <c r="B248" s="9" t="s">
        <v>2688</v>
      </c>
    </row>
    <row r="249" spans="1:2" x14ac:dyDescent="0.3">
      <c r="A249" s="8">
        <v>248</v>
      </c>
      <c r="B249" s="9" t="s">
        <v>2689</v>
      </c>
    </row>
    <row r="250" spans="1:2" x14ac:dyDescent="0.3">
      <c r="A250" s="8">
        <v>249</v>
      </c>
      <c r="B250" s="9" t="s">
        <v>2690</v>
      </c>
    </row>
    <row r="251" spans="1:2" x14ac:dyDescent="0.3">
      <c r="A251" s="8">
        <v>250</v>
      </c>
      <c r="B251" s="9" t="s">
        <v>2691</v>
      </c>
    </row>
    <row r="252" spans="1:2" x14ac:dyDescent="0.3">
      <c r="A252" s="8">
        <v>251</v>
      </c>
      <c r="B252" s="9" t="s">
        <v>2692</v>
      </c>
    </row>
    <row r="253" spans="1:2" x14ac:dyDescent="0.3">
      <c r="A253" s="8">
        <v>252</v>
      </c>
      <c r="B253" s="9" t="s">
        <v>2693</v>
      </c>
    </row>
    <row r="254" spans="1:2" x14ac:dyDescent="0.3">
      <c r="A254" s="8">
        <v>253</v>
      </c>
      <c r="B254" s="9" t="s">
        <v>2694</v>
      </c>
    </row>
    <row r="255" spans="1:2" x14ac:dyDescent="0.3">
      <c r="A255" s="8">
        <v>254</v>
      </c>
      <c r="B255" s="9" t="s">
        <v>2695</v>
      </c>
    </row>
    <row r="256" spans="1:2" x14ac:dyDescent="0.3">
      <c r="A256" s="8">
        <v>255</v>
      </c>
      <c r="B256" s="9" t="s">
        <v>2696</v>
      </c>
    </row>
    <row r="257" spans="1:2" x14ac:dyDescent="0.3">
      <c r="A257" s="8">
        <v>256</v>
      </c>
      <c r="B257" s="9" t="s">
        <v>2697</v>
      </c>
    </row>
    <row r="258" spans="1:2" x14ac:dyDescent="0.3">
      <c r="A258" s="8">
        <v>257</v>
      </c>
      <c r="B258" s="9" t="s">
        <v>2698</v>
      </c>
    </row>
    <row r="259" spans="1:2" x14ac:dyDescent="0.3">
      <c r="A259" s="8">
        <v>258</v>
      </c>
      <c r="B259" s="9" t="s">
        <v>2699</v>
      </c>
    </row>
    <row r="260" spans="1:2" x14ac:dyDescent="0.3">
      <c r="A260" s="8">
        <v>259</v>
      </c>
      <c r="B260" s="9" t="s">
        <v>2700</v>
      </c>
    </row>
    <row r="261" spans="1:2" x14ac:dyDescent="0.3">
      <c r="A261" s="8">
        <v>260</v>
      </c>
      <c r="B261" s="9" t="s">
        <v>2701</v>
      </c>
    </row>
    <row r="262" spans="1:2" x14ac:dyDescent="0.3">
      <c r="A262" s="8">
        <v>261</v>
      </c>
      <c r="B262" s="9" t="s">
        <v>2702</v>
      </c>
    </row>
    <row r="263" spans="1:2" x14ac:dyDescent="0.3">
      <c r="A263" s="8">
        <v>262</v>
      </c>
      <c r="B263" s="9" t="s">
        <v>2703</v>
      </c>
    </row>
    <row r="264" spans="1:2" x14ac:dyDescent="0.3">
      <c r="A264" s="8">
        <v>263</v>
      </c>
      <c r="B264" s="9" t="s">
        <v>2704</v>
      </c>
    </row>
    <row r="265" spans="1:2" x14ac:dyDescent="0.3">
      <c r="A265" s="8">
        <v>264</v>
      </c>
      <c r="B265" s="9" t="s">
        <v>2705</v>
      </c>
    </row>
    <row r="266" spans="1:2" x14ac:dyDescent="0.3">
      <c r="A266" s="8">
        <v>265</v>
      </c>
      <c r="B266" s="9" t="s">
        <v>2706</v>
      </c>
    </row>
    <row r="267" spans="1:2" x14ac:dyDescent="0.3">
      <c r="A267" s="8">
        <v>266</v>
      </c>
      <c r="B267" s="9" t="s">
        <v>2707</v>
      </c>
    </row>
    <row r="268" spans="1:2" x14ac:dyDescent="0.3">
      <c r="A268" s="8">
        <v>267</v>
      </c>
      <c r="B268" s="9" t="s">
        <v>2708</v>
      </c>
    </row>
    <row r="269" spans="1:2" x14ac:dyDescent="0.3">
      <c r="A269" s="8">
        <v>268</v>
      </c>
      <c r="B269" s="9" t="s">
        <v>2709</v>
      </c>
    </row>
    <row r="270" spans="1:2" x14ac:dyDescent="0.3">
      <c r="A270" s="8">
        <v>269</v>
      </c>
      <c r="B270" s="9" t="s">
        <v>2710</v>
      </c>
    </row>
    <row r="271" spans="1:2" x14ac:dyDescent="0.3">
      <c r="A271" s="8">
        <v>270</v>
      </c>
      <c r="B271" s="9" t="s">
        <v>2711</v>
      </c>
    </row>
    <row r="272" spans="1:2" x14ac:dyDescent="0.3">
      <c r="A272" s="8">
        <v>271</v>
      </c>
      <c r="B272" s="9" t="s">
        <v>2712</v>
      </c>
    </row>
    <row r="273" spans="1:2" x14ac:dyDescent="0.3">
      <c r="A273" s="8">
        <v>272</v>
      </c>
      <c r="B273" s="9" t="s">
        <v>2713</v>
      </c>
    </row>
    <row r="274" spans="1:2" x14ac:dyDescent="0.3">
      <c r="A274" s="8">
        <v>273</v>
      </c>
      <c r="B274" s="9" t="s">
        <v>2714</v>
      </c>
    </row>
    <row r="275" spans="1:2" x14ac:dyDescent="0.3">
      <c r="A275" s="8">
        <v>274</v>
      </c>
      <c r="B275" s="9" t="s">
        <v>2715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8"/>
  <dimension ref="A1"/>
  <sheetViews>
    <sheetView workbookViewId="0">
      <selection activeCell="F18" sqref="F18"/>
    </sheetView>
  </sheetViews>
  <sheetFormatPr baseColWidth="10" defaultRowHeight="14.4" x14ac:dyDescent="0.3"/>
  <cols>
    <col min="1" max="1" width="19.6640625" bestFit="1" customWidth="1"/>
    <col min="2" max="2" width="22.33203125" bestFit="1" customWidth="1"/>
    <col min="3" max="4" width="4" bestFit="1" customWidth="1"/>
    <col min="5" max="5" width="11.6640625" bestFit="1" customWidth="1"/>
    <col min="8" max="8" width="27.33203125" bestFit="1" customWidth="1"/>
    <col min="9" max="9" width="22.33203125" bestFit="1" customWidth="1"/>
    <col min="10" max="11" width="12" bestFit="1" customWidth="1"/>
    <col min="12" max="12" width="20.33203125" bestFit="1" customWidth="1"/>
    <col min="13" max="13" width="12" bestFit="1" customWidth="1"/>
    <col min="14" max="14" width="9" bestFit="1" customWidth="1"/>
    <col min="15" max="15" width="12" bestFit="1" customWidth="1"/>
    <col min="16" max="16" width="14.33203125" bestFit="1" customWidth="1"/>
    <col min="17" max="17" width="21" bestFit="1" customWidth="1"/>
    <col min="18" max="18" width="19.33203125" bestFit="1" customWidth="1"/>
    <col min="19" max="19" width="12" bestFit="1" customWidth="1"/>
    <col min="20" max="20" width="29.6640625" bestFit="1" customWidth="1"/>
    <col min="21" max="21" width="12" bestFit="1" customWidth="1"/>
    <col min="22" max="22" width="11" bestFit="1" customWidth="1"/>
    <col min="23" max="23" width="9" bestFit="1" customWidth="1"/>
    <col min="24" max="24" width="12" bestFit="1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6146D2-CA4F-4D68-BDB5-92B8F5E4D8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5</vt:i4>
      </vt:variant>
    </vt:vector>
  </HeadingPairs>
  <TitlesOfParts>
    <vt:vector size="18" baseType="lpstr">
      <vt:lpstr>EDT_Personnel</vt:lpstr>
      <vt:lpstr>Chambre_EDT</vt:lpstr>
      <vt:lpstr>Patient</vt:lpstr>
      <vt:lpstr>Personnel</vt:lpstr>
      <vt:lpstr>Consultation</vt:lpstr>
      <vt:lpstr>Service</vt:lpstr>
      <vt:lpstr>Etablissement</vt:lpstr>
      <vt:lpstr>Materiel</vt:lpstr>
      <vt:lpstr>Medicament</vt:lpstr>
      <vt:lpstr>Prescription</vt:lpstr>
      <vt:lpstr>Fournisseur</vt:lpstr>
      <vt:lpstr>Mutuelle</vt:lpstr>
      <vt:lpstr>Statistiques</vt:lpstr>
      <vt:lpstr>Chambre</vt:lpstr>
      <vt:lpstr>Date</vt:lpstr>
      <vt:lpstr>Date2</vt:lpstr>
      <vt:lpstr>Personnel</vt:lpstr>
      <vt:lpstr>prescription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2020-11-19T09:46:43Z</dcterms:created>
  <dcterms:modified xsi:type="dcterms:W3CDTF">2020-12-18T09:17:48Z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8f20714f-2538-4f27-bfda-e4c3a5df6d33</vt:lpwstr>
  </property>
</Properties>
</file>